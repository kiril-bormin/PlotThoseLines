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px20umf\Documents\github\PlotThoseLines\docs\jdt\"/>
    </mc:Choice>
  </mc:AlternateContent>
  <xr:revisionPtr revIDLastSave="0" documentId="13_ncr:1_{FC344A51-FA54-4887-97EA-4345F68E193F}" xr6:coauthVersionLast="47" xr6:coauthVersionMax="47" xr10:uidLastSave="{00000000-0000-0000-0000-000000000000}"/>
  <bookViews>
    <workbookView xWindow="31590" yWindow="1740" windowWidth="21600" windowHeight="11745"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1" i="1" l="1" a="1"/>
  <c r="N11" i="2"/>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<sst xmlns="http://schemas.openxmlformats.org/spreadsheetml/2006/main" count="140" uniqueCount="86">
  <si>
    <t>Journal de travail</t>
  </si>
  <si>
    <t>Auteur:</t>
  </si>
  <si>
    <t>Bormin Kiril</t>
  </si>
  <si>
    <t>Projet:</t>
  </si>
  <si>
    <t>Temps total:</t>
  </si>
  <si>
    <t>Date:</t>
  </si>
  <si>
    <t>Temps</t>
  </si>
  <si>
    <t>Semaine</t>
  </si>
  <si>
    <t>Jour</t>
  </si>
  <si>
    <t xml:space="preserve">h.      </t>
  </si>
  <si>
    <t>min.</t>
  </si>
  <si>
    <t>Type</t>
  </si>
  <si>
    <t>Description</t>
  </si>
  <si>
    <t>Remarques/problèmes</t>
  </si>
  <si>
    <t>Analyse</t>
  </si>
  <si>
    <t>Implémentation</t>
  </si>
  <si>
    <t>Test</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</si>
  <si>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</si>
  <si>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</si>
  <si>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</si>
  <si>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</si>
  <si>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</si>
  <si>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</si>
  <si>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</si>
  <si>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</si>
  <si>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</si>
  <si>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</si>
  <si>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</si>
  <si>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</si>
  <si>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</si>
  <si>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P_FUN - PlotThoseLines</t>
  </si>
  <si>
    <t>24.08.2026 - 30.10.2026</t>
  </si>
  <si>
    <t>Mise en place des outils de versionning et suivi de travail</t>
  </si>
  <si>
    <t xml:space="preserve">Création des user stories </t>
  </si>
  <si>
    <t>Amélioration des US</t>
  </si>
  <si>
    <t>Création de la planificaiton simple</t>
  </si>
  <si>
    <t>Utiliser un modèle de rapport</t>
  </si>
  <si>
    <t>Création de la maquette</t>
  </si>
  <si>
    <t>Ajout de tests d'acceptence à chaque fois, image de la maquette, US atomiques</t>
  </si>
  <si>
    <t>Remplissage du rapport</t>
  </si>
  <si>
    <t>J'ai ajouté les sections description, objectifs, analyse fonctionnelle et planificaiton simple</t>
  </si>
  <si>
    <t>Daily Scrum</t>
  </si>
  <si>
    <t xml:space="preserve">Analyse de travail fait la dernière fois, j'ai fini avec les US, l'into du rapport et la planification, aujourd'hui je m'attaque au code </t>
  </si>
  <si>
    <t>Ajout du composant ScottPlot dans le projet</t>
  </si>
  <si>
    <t>Écriture du fichier DataPoint</t>
  </si>
  <si>
    <t>Création du fichier DataSerie</t>
  </si>
  <si>
    <t xml:space="preserve">J'ai dû passer beaucoup de temps sur la création de ce composant, en décorticant chaque ligne, parce que initialement j'ai pas très bien compris le concept </t>
  </si>
  <si>
    <t>Introduction dans la journée par le chef du projet</t>
  </si>
  <si>
    <t>Introduction au projet par le chef du projet</t>
  </si>
  <si>
    <t>Le Chef du projet a expliqué les buts du projet et le déroulement</t>
  </si>
  <si>
    <t>Informations supplémentaires par le chef de projet</t>
  </si>
  <si>
    <t>Test de ScottPlot avec des données fausses</t>
  </si>
  <si>
    <t>Feedback de chef de projet par rapport au US, rapport et jdt</t>
  </si>
  <si>
    <t>Remplissage du jdt</t>
  </si>
  <si>
    <t>Correction du rapport + ajout d'infos dans la section bilan de planification</t>
  </si>
  <si>
    <t>Recherche de fichiers avec les données</t>
  </si>
  <si>
    <t>Information sur les jdt par le chef de travail</t>
  </si>
  <si>
    <t>Implémentation de l'import d'un fichier avec des données</t>
  </si>
  <si>
    <t xml:space="preserve">J'ai implémenté l'import des données d'un fichier .csv, qui parse des colonnes chosis, et créer une DataSerie </t>
  </si>
  <si>
    <t>Recherche d'un source de données gratuit et complet</t>
  </si>
  <si>
    <t>J'ai fini par faire un script avec l'ia qui scrappe les données de yahoo finance, et crée un csv avec un nombre suffisant de données</t>
  </si>
  <si>
    <t xml:space="preserve">Correction de champ utilisé </t>
  </si>
  <si>
    <t>Par erreur comme le champ voulu j'ai mis la valeur d'une action et pas la capitalisation totale, que j'ai ensuite corrigé</t>
  </si>
  <si>
    <t xml:space="preserve">Documentation jdt et màj sur github project </t>
  </si>
  <si>
    <t>Explication de quelques nuances du projet par le chef de projet</t>
  </si>
  <si>
    <t>Je constate qu'il reste plus beaucoup de temps pour le projet, il faudra avancer plus, et eventuellement abandonner certains aspects du projet.</t>
  </si>
  <si>
    <t xml:space="preserve">Mise en place de menu latéral permetant de masquer ou d'afficher les graphiques ajoutés </t>
  </si>
  <si>
    <t>Le tableau affiche le nom du graphique, et un checkbox à côté, avec lequel on peut choisir quels graphiques on veut voir à un moment précis</t>
  </si>
  <si>
    <t xml:space="preserve">Feedback de chef de projet par rapport à l'avancement du projet, et indeces pour le stockage des données </t>
  </si>
  <si>
    <t>Il faudra prévoir une stratégie pour l'ajout des nouveau données (il faudrait mieux prendre en compte les nouvelles données, si elles se mettent sur le même moment au temps). Également il faudra penser à l'indiquation de ces changement à l'utilisateur (un message pop-up qui prouve la réussite et le nombre de changement au minimum, et idéalement une comparaison des deux graphiques)</t>
  </si>
  <si>
    <t>Vérifier si le graphique avec le même nom existe déjà -&gt; si oui afficher une erreur</t>
  </si>
  <si>
    <t>Réaliser la sauvegarde des données</t>
  </si>
  <si>
    <t>Les données sont sauvegardées dans un fichier .json</t>
  </si>
  <si>
    <t>Documentation jdt</t>
  </si>
  <si>
    <t>Transmision de détails pour le projet par le chef de projet</t>
  </si>
  <si>
    <t>le message transmit: pour obtenir une évaluation à 80% du projet, il faut faire une release cette semaine. Il faudra travailler le système de sauvegarde des données et gestion des données répetitives</t>
  </si>
  <si>
    <t>Correction du dossier de sauvegarde</t>
  </si>
  <si>
    <t>Je commence par l'ajout d'un fichier pour le même graphique, en enchaînant avec la logique de remplacement des anciens points si la nouvelle série contient  des points communs avec l'ancienne.</t>
  </si>
  <si>
    <t>Attribution du nom de graphique par l'accronyme de l'entreprise, implémentation de logique d'ajout d'une autre serie</t>
  </si>
  <si>
    <t>Partie complètement fonctionnelle, si l'ancien et le nouveau graphique ont des données en commun -&gt; celles de dernier sont prises en compte.</t>
  </si>
  <si>
    <t>Suppresion de série de l'affichage et de la mémoire</t>
  </si>
  <si>
    <t>Boutons pout changer le zoom et exporter le graphique en png</t>
  </si>
  <si>
    <t>Formatage des grands nombres</t>
  </si>
  <si>
    <t>Nombres positifs et négatifs</t>
  </si>
  <si>
    <t>Mise à jour du jdt</t>
  </si>
  <si>
    <t>Analyse de l'avancement du projet, mise à jour des objectifs sur github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</si>
</sst>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245</c:v>
                </c:pt>
                <c:pt idx="1">
                  <c:v>750</c:v>
                </c:pt>
                <c:pt idx="2">
                  <c:v>0</c:v>
                </c:pt>
                <c:pt idx="3">
                  <c:v>100</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Plannification!$G$6:$G$10</c:f>
              <c:numCache>
                <c:formatCode>0.00%</c:formatCode>
                <c:ptCount val="4"/>
                <c:pt idx="0">
                  <c:v>0.22374429223744291</c:v>
                </c:pt>
                <c:pt idx="1">
                  <c:v>0.68493150684931503</c:v>
                </c:pt>
                <c:pt idx="2">
                  <c:v>0</c:v>
                </c:pt>
                <c:pt idx="3">
                  <c:v>9.1324200913242004E-2</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85" zoomScaleNormal="85" workbookViewId="0">
      <pane ySplit="6" topLeftCell="A41" activePane="bottomLeft" state="frozen"/>
      <selection pane="bottomLeft" activeCell="G49" sqref="G49"/>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18 heures 15 minutes</v>
      </c>
      <c r="D3" s="17"/>
      <c r="E3" s="3"/>
      <c r="F3" s="4" t="s">
        <v>5</v>
      </c>
      <c r="G3" s="65" t="s">
        <v>31</v>
      </c>
    </row>
    <row r="4" spans="1:15" ht="23.25" hidden="1" x14ac:dyDescent="0.35">
      <c r="B4" s="5"/>
      <c r="C4" s="17">
        <f>SUBTOTAL(9,$C$7:$C$531)*60</f>
        <v>360</v>
      </c>
      <c r="D4" s="17">
        <f>SUBTOTAL(9,$D$7:$D$531)</f>
        <v>735</v>
      </c>
      <c r="E4" s="24">
        <f>SUM(C4:D4)</f>
        <v>1095</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46258</v>
      </c>
      <c r="C7" s="27">
        <v>1</v>
      </c>
      <c r="D7" s="28">
        <v>30</v>
      </c>
      <c r="E7" s="29" t="s">
        <v>14</v>
      </c>
      <c r="F7" s="23" t="s">
        <v>48</v>
      </c>
      <c r="G7" s="38" t="s">
        <v>49</v>
      </c>
    </row>
    <row r="8" spans="1:15" x14ac:dyDescent="0.25">
      <c r="A8" s="62">
        <f>IF(ISBLANK(B8),"",_xlfn.ISOWEEKNUM('Journal de travail'!$B8))</f>
        <v>35</v>
      </c>
      <c r="B8" s="30">
        <v>46258</v>
      </c>
      <c r="C8" s="31"/>
      <c r="D8" s="32">
        <v>20</v>
      </c>
      <c r="E8" s="33" t="s">
        <v>15</v>
      </c>
      <c r="F8" s="23" t="s">
        <v>32</v>
      </c>
      <c r="G8" s="39"/>
      <c r="M8" t="s">
        <v>14</v>
      </c>
      <c r="N8">
        <v>1</v>
      </c>
      <c r="O8">
        <v>0</v>
      </c>
    </row>
    <row r="9" spans="1:15" x14ac:dyDescent="0.25">
      <c r="A9" s="63">
        <f>IF(ISBLANK(B9),"",_xlfn.ISOWEEKNUM('Journal de travail'!$B9))</f>
        <v>35</v>
      </c>
      <c r="B9" s="34">
        <v>46258</v>
      </c>
      <c r="C9" s="35"/>
      <c r="D9" s="36">
        <v>40</v>
      </c>
      <c r="E9" s="37" t="s">
        <v>15</v>
      </c>
      <c r="F9" s="23" t="s">
        <v>33</v>
      </c>
      <c r="G9" s="40"/>
      <c r="M9" t="s">
        <v>15</v>
      </c>
      <c r="N9">
        <v>2</v>
      </c>
      <c r="O9">
        <v>5</v>
      </c>
    </row>
    <row r="10" spans="1:15" x14ac:dyDescent="0.25">
      <c r="A10" s="62">
        <f>IF(ISBLANK(B10),"",_xlfn.ISOWEEKNUM('Journal de travail'!$B10))</f>
        <v>35</v>
      </c>
      <c r="B10" s="30">
        <v>46258</v>
      </c>
      <c r="C10" s="31"/>
      <c r="D10" s="32">
        <v>10</v>
      </c>
      <c r="E10" s="33" t="s">
        <v>17</v>
      </c>
      <c r="F10" s="23" t="s">
        <v>36</v>
      </c>
      <c r="G10" s="39"/>
      <c r="M10" t="s">
        <v>16</v>
      </c>
      <c r="N10">
        <v>3</v>
      </c>
      <c r="O10">
        <v>10</v>
      </c>
    </row>
    <row r="11" spans="1:15" x14ac:dyDescent="0.25">
      <c r="A11" s="63">
        <f>IF(ISBLANK(B11),"",_xlfn.ISOWEEKNUM('Journal de travail'!$B11))</f>
        <v>35</v>
      </c>
      <c r="B11" s="34">
        <v>46258</v>
      </c>
      <c r="C11" s="35"/>
      <c r="D11" s="36">
        <v>15</v>
      </c>
      <c r="E11" s="37" t="s">
        <v>15</v>
      </c>
      <c r="F11" s="23" t="s">
        <v>34</v>
      </c>
      <c r="G11" s="40"/>
      <c r="I11" t="str" cm="1">
        <f t="array" ref="I11">_xlfn.LET(
  _xlpm.tot, SUM((B$7:B$100=B7) * (IFERROR(SUBSTITUTE(C$7:C$100," h","")*60, 0) + IFERROR(SUBSTITUTE(D$7:D$100," min","")*1, 0))),
  INT(_xlpm.tot/60) &amp; " h " &amp; TEXT(MOD(_xlpm.tot, 60), "00") &amp; " min"
)</f>
        <v>2 h 55 min</v>
      </c>
      <c r="M11" t="s">
        <v>17</v>
      </c>
      <c r="N11">
        <v>4</v>
      </c>
      <c r="O11">
        <v>15</v>
      </c>
    </row>
    <row r="12" spans="1:15" x14ac:dyDescent="0.25">
      <c r="A12" s="62">
        <f>IF(ISBLANK(B12),"",_xlfn.ISOWEEKNUM('Journal de travail'!$B12))</f>
        <v>36</v>
      </c>
      <c r="B12" s="30">
        <v>46265</v>
      </c>
      <c r="C12" s="31"/>
      <c r="D12" s="32">
        <v>20</v>
      </c>
      <c r="E12" s="33" t="s">
        <v>14</v>
      </c>
      <c r="F12" s="23" t="s">
        <v>50</v>
      </c>
      <c r="G12" s="39"/>
      <c r="M12" t="s">
        <v>18</v>
      </c>
      <c r="N12">
        <v>5</v>
      </c>
      <c r="O12">
        <v>20</v>
      </c>
    </row>
    <row r="13" spans="1:15" x14ac:dyDescent="0.25">
      <c r="A13" s="63">
        <f>IF(ISBLANK(B13),"",_xlfn.ISOWEEKNUM('Journal de travail'!$B13))</f>
        <v>36</v>
      </c>
      <c r="B13" s="34">
        <v>46265</v>
      </c>
      <c r="C13" s="35"/>
      <c r="D13" s="36">
        <v>10</v>
      </c>
      <c r="E13" s="37" t="s">
        <v>14</v>
      </c>
      <c r="F13" s="23" t="s">
        <v>41</v>
      </c>
      <c r="G13" s="40"/>
      <c r="N13">
        <v>6</v>
      </c>
      <c r="O13">
        <v>25</v>
      </c>
    </row>
    <row r="14" spans="1:15" x14ac:dyDescent="0.25">
      <c r="A14" s="62">
        <f>IF(ISBLANK(B14),"",_xlfn.ISOWEEKNUM('Journal de travail'!$B14))</f>
        <v>36</v>
      </c>
      <c r="B14" s="30">
        <v>46265</v>
      </c>
      <c r="C14" s="31"/>
      <c r="D14" s="32">
        <v>25</v>
      </c>
      <c r="E14" s="33" t="s">
        <v>15</v>
      </c>
      <c r="F14" s="23" t="s">
        <v>35</v>
      </c>
      <c r="G14" s="39"/>
      <c r="N14">
        <v>7</v>
      </c>
      <c r="O14">
        <v>30</v>
      </c>
    </row>
    <row r="15" spans="1:15" x14ac:dyDescent="0.25">
      <c r="A15" s="63">
        <f>IF(ISBLANK(B15),"",_xlfn.ISOWEEKNUM('Journal de travail'!$B15))</f>
        <v>36</v>
      </c>
      <c r="B15" s="34">
        <v>46265</v>
      </c>
      <c r="C15" s="35"/>
      <c r="D15" s="36">
        <v>40</v>
      </c>
      <c r="E15" s="37" t="s">
        <v>15</v>
      </c>
      <c r="F15" s="23" t="s">
        <v>37</v>
      </c>
      <c r="G15" s="40"/>
      <c r="N15">
        <v>8</v>
      </c>
      <c r="O15">
        <v>35</v>
      </c>
    </row>
    <row r="16" spans="1:15" x14ac:dyDescent="0.25">
      <c r="A16" s="62">
        <f>IF(ISBLANK(B16),"",_xlfn.ISOWEEKNUM('Journal de travail'!$B16))</f>
        <v>36</v>
      </c>
      <c r="B16" s="30">
        <v>46265</v>
      </c>
      <c r="C16" s="31"/>
      <c r="D16" s="32">
        <v>40</v>
      </c>
      <c r="E16" s="33" t="s">
        <v>15</v>
      </c>
      <c r="F16" s="23" t="s">
        <v>34</v>
      </c>
      <c r="G16" s="39" t="s">
        <v>38</v>
      </c>
      <c r="O16">
        <v>40</v>
      </c>
    </row>
    <row r="17" spans="1:15" ht="31.5" x14ac:dyDescent="0.25">
      <c r="A17" s="63">
        <f>IF(ISBLANK(B17),"",_xlfn.ISOWEEKNUM('Journal de travail'!$B17))</f>
        <v>36</v>
      </c>
      <c r="B17" s="34">
        <v>46265</v>
      </c>
      <c r="C17" s="35"/>
      <c r="D17" s="36">
        <v>45</v>
      </c>
      <c r="E17" s="37" t="s">
        <v>17</v>
      </c>
      <c r="F17" s="23" t="s">
        <v>39</v>
      </c>
      <c r="G17" s="40" t="s">
        <v>40</v>
      </c>
      <c r="O17">
        <v>45</v>
      </c>
    </row>
    <row r="18" spans="1:15" x14ac:dyDescent="0.25">
      <c r="A18" s="62">
        <f>IF(ISBLANK(B18),"",_xlfn.ISOWEEKNUM('Journal de travail'!$B18))</f>
        <v>37</v>
      </c>
      <c r="B18" s="30">
        <v>46272</v>
      </c>
      <c r="C18" s="31"/>
      <c r="D18" s="32">
        <v>10</v>
      </c>
      <c r="E18" s="33" t="s">
        <v>14</v>
      </c>
      <c r="F18" s="23" t="s">
        <v>47</v>
      </c>
      <c r="G18" s="39"/>
      <c r="O18">
        <v>50</v>
      </c>
    </row>
    <row r="19" spans="1:15" ht="31.5" x14ac:dyDescent="0.25">
      <c r="A19" s="63">
        <f>IF(ISBLANK(B19),"",_xlfn.ISOWEEKNUM('Journal de travail'!$B19))</f>
        <v>37</v>
      </c>
      <c r="B19" s="34">
        <v>46272</v>
      </c>
      <c r="C19" s="35"/>
      <c r="D19" s="36">
        <v>10</v>
      </c>
      <c r="E19" s="37" t="s">
        <v>14</v>
      </c>
      <c r="F19" s="23" t="s">
        <v>41</v>
      </c>
      <c r="G19" s="40" t="s">
        <v>42</v>
      </c>
      <c r="O19">
        <v>55</v>
      </c>
    </row>
    <row r="20" spans="1:15" x14ac:dyDescent="0.25">
      <c r="A20" s="62">
        <f>IF(ISBLANK(B20),"",_xlfn.ISOWEEKNUM('Journal de travail'!$B20))</f>
        <v>37</v>
      </c>
      <c r="B20" s="30">
        <v>46272</v>
      </c>
      <c r="C20" s="31"/>
      <c r="D20" s="32">
        <v>10</v>
      </c>
      <c r="E20" s="33" t="s">
        <v>15</v>
      </c>
      <c r="F20" s="23" t="s">
        <v>43</v>
      </c>
      <c r="G20" s="39"/>
    </row>
    <row r="21" spans="1:15" x14ac:dyDescent="0.25">
      <c r="A21" s="63">
        <f>IF(ISBLANK(B21),"",_xlfn.ISOWEEKNUM('Journal de travail'!$B21))</f>
        <v>37</v>
      </c>
      <c r="B21" s="34">
        <v>46272</v>
      </c>
      <c r="C21" s="35"/>
      <c r="D21" s="36">
        <v>20</v>
      </c>
      <c r="E21" s="37" t="s">
        <v>15</v>
      </c>
      <c r="F21" s="23" t="s">
        <v>44</v>
      </c>
      <c r="G21" s="40"/>
    </row>
    <row r="22" spans="1:15" ht="31.5" x14ac:dyDescent="0.25">
      <c r="A22" s="62">
        <f>IF(ISBLANK(B22),"",_xlfn.ISOWEEKNUM('Journal de travail'!$B22))</f>
        <v>37</v>
      </c>
      <c r="B22" s="30">
        <v>46272</v>
      </c>
      <c r="C22" s="31">
        <v>1</v>
      </c>
      <c r="D22" s="32"/>
      <c r="E22" s="33" t="s">
        <v>15</v>
      </c>
      <c r="F22" s="23" t="s">
        <v>45</v>
      </c>
      <c r="G22" s="39" t="s">
        <v>46</v>
      </c>
    </row>
    <row r="23" spans="1:15" x14ac:dyDescent="0.25">
      <c r="A23" s="63">
        <f>IF(ISBLANK(B23),"",_xlfn.ISOWEEKNUM('Journal de travail'!$B23))</f>
        <v>37</v>
      </c>
      <c r="B23" s="34">
        <v>46272</v>
      </c>
      <c r="C23" s="35"/>
      <c r="D23" s="36">
        <v>30</v>
      </c>
      <c r="E23" s="37" t="s">
        <v>15</v>
      </c>
      <c r="F23" s="23" t="s">
        <v>51</v>
      </c>
      <c r="G23" s="40"/>
    </row>
    <row r="24" spans="1:15" x14ac:dyDescent="0.25">
      <c r="A24" s="62">
        <f>IF(ISBLANK(B24),"",_xlfn.ISOWEEKNUM('Journal de travail'!$B24))</f>
        <v>37</v>
      </c>
      <c r="B24" s="30">
        <v>46272</v>
      </c>
      <c r="C24" s="31"/>
      <c r="D24" s="32">
        <v>10</v>
      </c>
      <c r="E24" s="33" t="s">
        <v>14</v>
      </c>
      <c r="F24" s="23" t="s">
        <v>52</v>
      </c>
      <c r="G24" s="39"/>
    </row>
    <row r="25" spans="1:15" x14ac:dyDescent="0.25">
      <c r="A25" s="63">
        <f>IF(ISBLANK(B25),"",_xlfn.ISOWEEKNUM('Journal de travail'!$B25))</f>
        <v>37</v>
      </c>
      <c r="B25" s="34">
        <v>46272</v>
      </c>
      <c r="C25" s="35"/>
      <c r="D25" s="36">
        <v>5</v>
      </c>
      <c r="E25" s="37" t="s">
        <v>17</v>
      </c>
      <c r="F25" s="23" t="s">
        <v>53</v>
      </c>
      <c r="G25" s="40"/>
    </row>
    <row r="26" spans="1:15" x14ac:dyDescent="0.25">
      <c r="A26" s="62">
        <f>IF(ISBLANK(B26),"",_xlfn.ISOWEEKNUM('Journal de travail'!$B26))</f>
        <v>37</v>
      </c>
      <c r="B26" s="30">
        <v>46272</v>
      </c>
      <c r="C26" s="31"/>
      <c r="D26" s="32">
        <v>10</v>
      </c>
      <c r="E26" s="33" t="s">
        <v>17</v>
      </c>
      <c r="F26" s="23" t="s">
        <v>54</v>
      </c>
      <c r="G26" s="39"/>
    </row>
    <row r="27" spans="1:15" x14ac:dyDescent="0.25">
      <c r="A27" s="63">
        <f>IF(ISBLANK(B27),"",_xlfn.ISOWEEKNUM('Journal de travail'!$B27))</f>
        <v>37</v>
      </c>
      <c r="B27" s="34">
        <v>46272</v>
      </c>
      <c r="C27" s="35"/>
      <c r="D27" s="36">
        <v>10</v>
      </c>
      <c r="E27" s="37" t="s">
        <v>15</v>
      </c>
      <c r="F27" s="23" t="s">
        <v>55</v>
      </c>
      <c r="G27" s="40"/>
    </row>
    <row r="28" spans="1:15" x14ac:dyDescent="0.25">
      <c r="A28" s="62">
        <f>IF(ISBLANK(B28),"",_xlfn.ISOWEEKNUM('Journal de travail'!$B28))</f>
        <v>38</v>
      </c>
      <c r="B28" s="30">
        <v>46279</v>
      </c>
      <c r="C28" s="31"/>
      <c r="D28" s="32">
        <v>10</v>
      </c>
      <c r="E28" s="33" t="s">
        <v>14</v>
      </c>
      <c r="F28" s="22" t="s">
        <v>56</v>
      </c>
      <c r="G28" s="39"/>
    </row>
    <row r="29" spans="1:15" x14ac:dyDescent="0.25">
      <c r="A29" s="63">
        <f>IF(ISBLANK(B29),"",_xlfn.ISOWEEKNUM('Journal de travail'!$B29))</f>
        <v>38</v>
      </c>
      <c r="B29" s="34">
        <v>46279</v>
      </c>
      <c r="C29" s="35"/>
      <c r="D29" s="36">
        <v>5</v>
      </c>
      <c r="E29" s="37" t="s">
        <v>14</v>
      </c>
      <c r="F29" s="22" t="s">
        <v>41</v>
      </c>
      <c r="G29" s="40"/>
    </row>
    <row r="30" spans="1:15" ht="31.5" x14ac:dyDescent="0.25">
      <c r="A30" s="62">
        <f>IF(ISBLANK(B30),"",_xlfn.ISOWEEKNUM('Journal de travail'!$B30))</f>
        <v>38</v>
      </c>
      <c r="B30" s="30">
        <v>46279</v>
      </c>
      <c r="C30" s="31">
        <v>1</v>
      </c>
      <c r="D30" s="32">
        <v>50</v>
      </c>
      <c r="E30" s="33" t="s">
        <v>15</v>
      </c>
      <c r="F30" s="23" t="s">
        <v>57</v>
      </c>
      <c r="G30" s="39" t="s">
        <v>58</v>
      </c>
    </row>
    <row r="31" spans="1:15" ht="31.5" x14ac:dyDescent="0.25">
      <c r="A31" s="63">
        <f>IF(ISBLANK(B31),"",_xlfn.ISOWEEKNUM('Journal de travail'!$B31))</f>
        <v>38</v>
      </c>
      <c r="B31" s="34">
        <v>46279</v>
      </c>
      <c r="C31" s="35"/>
      <c r="D31" s="36">
        <v>30</v>
      </c>
      <c r="E31" s="37" t="s">
        <v>14</v>
      </c>
      <c r="F31" s="22" t="s">
        <v>59</v>
      </c>
      <c r="G31" s="40" t="s">
        <v>60</v>
      </c>
    </row>
    <row r="32" spans="1:15" ht="31.5" x14ac:dyDescent="0.25">
      <c r="A32" s="62">
        <f>IF(ISBLANK(B32),"",_xlfn.ISOWEEKNUM('Journal de travail'!$B32))</f>
        <v>38</v>
      </c>
      <c r="B32" s="30">
        <v>46279</v>
      </c>
      <c r="C32" s="31"/>
      <c r="D32" s="32">
        <v>10</v>
      </c>
      <c r="E32" s="33" t="s">
        <v>15</v>
      </c>
      <c r="F32" s="23" t="s">
        <v>61</v>
      </c>
      <c r="G32" s="39" t="s">
        <v>62</v>
      </c>
    </row>
    <row r="33" spans="1:7" x14ac:dyDescent="0.25">
      <c r="A33" s="63">
        <f>IF(ISBLANK(B33),"",_xlfn.ISOWEEKNUM('Journal de travail'!$B33))</f>
        <v>38</v>
      </c>
      <c r="B33" s="34">
        <v>46279</v>
      </c>
      <c r="C33" s="35"/>
      <c r="D33" s="36">
        <v>15</v>
      </c>
      <c r="E33" s="37" t="s">
        <v>17</v>
      </c>
      <c r="F33" s="22" t="s">
        <v>63</v>
      </c>
      <c r="G33" s="40"/>
    </row>
    <row r="34" spans="1:7" x14ac:dyDescent="0.25">
      <c r="A34" s="62">
        <f>IF(ISBLANK(B34),"",_xlfn.ISOWEEKNUM('Journal de travail'!$B34))</f>
        <v>40</v>
      </c>
      <c r="B34" s="30">
        <v>46293</v>
      </c>
      <c r="C34" s="31"/>
      <c r="D34" s="32">
        <v>5</v>
      </c>
      <c r="E34" s="33" t="s">
        <v>14</v>
      </c>
      <c r="F34" s="22" t="s">
        <v>64</v>
      </c>
      <c r="G34" s="39"/>
    </row>
    <row r="35" spans="1:7" ht="31.5" x14ac:dyDescent="0.25">
      <c r="A35" s="63">
        <f>IF(ISBLANK(B35),"",_xlfn.ISOWEEKNUM('Journal de travail'!$B35))</f>
        <v>40</v>
      </c>
      <c r="B35" s="30">
        <v>46293</v>
      </c>
      <c r="C35" s="35"/>
      <c r="D35" s="36">
        <v>10</v>
      </c>
      <c r="E35" s="37" t="s">
        <v>14</v>
      </c>
      <c r="F35" s="23" t="s">
        <v>41</v>
      </c>
      <c r="G35" s="40" t="s">
        <v>65</v>
      </c>
    </row>
    <row r="36" spans="1:7" ht="31.5" x14ac:dyDescent="0.25">
      <c r="A36" s="62">
        <f>IF(ISBLANK(B36),"",_xlfn.ISOWEEKNUM('Journal de travail'!$B36))</f>
        <v>40</v>
      </c>
      <c r="B36" s="30">
        <v>46293</v>
      </c>
      <c r="C36" s="31">
        <v>1</v>
      </c>
      <c r="D36" s="32">
        <v>15</v>
      </c>
      <c r="E36" s="33" t="s">
        <v>15</v>
      </c>
      <c r="F36" s="22" t="s">
        <v>66</v>
      </c>
      <c r="G36" s="39" t="s">
        <v>67</v>
      </c>
    </row>
    <row r="37" spans="1:7" ht="78.75" x14ac:dyDescent="0.25">
      <c r="A37" s="63">
        <f>IF(ISBLANK(B37),"",_xlfn.ISOWEEKNUM('Journal de travail'!$B37))</f>
        <v>40</v>
      </c>
      <c r="B37" s="34">
        <v>46293</v>
      </c>
      <c r="C37" s="35"/>
      <c r="D37" s="36">
        <v>15</v>
      </c>
      <c r="E37" s="37" t="s">
        <v>14</v>
      </c>
      <c r="F37" s="22" t="s">
        <v>68</v>
      </c>
      <c r="G37" s="40" t="s">
        <v>69</v>
      </c>
    </row>
    <row r="38" spans="1:7" x14ac:dyDescent="0.25">
      <c r="A38" s="62">
        <f>IF(ISBLANK(B38),"",_xlfn.ISOWEEKNUM('Journal de travail'!$B38))</f>
        <v>40</v>
      </c>
      <c r="B38" s="30">
        <v>46293</v>
      </c>
      <c r="C38" s="31"/>
      <c r="D38" s="32">
        <v>10</v>
      </c>
      <c r="E38" s="33" t="s">
        <v>15</v>
      </c>
      <c r="F38" s="22" t="s">
        <v>70</v>
      </c>
      <c r="G38" s="39"/>
    </row>
    <row r="39" spans="1:7" x14ac:dyDescent="0.25">
      <c r="A39" s="63">
        <f>IF(ISBLANK(B39),"",_xlfn.ISOWEEKNUM('Journal de travail'!$B39))</f>
        <v>40</v>
      </c>
      <c r="B39" s="34">
        <v>46293</v>
      </c>
      <c r="C39" s="35">
        <v>1</v>
      </c>
      <c r="D39" s="36">
        <v>5</v>
      </c>
      <c r="E39" s="37" t="s">
        <v>15</v>
      </c>
      <c r="F39" s="22" t="s">
        <v>71</v>
      </c>
      <c r="G39" s="40" t="s">
        <v>72</v>
      </c>
    </row>
    <row r="40" spans="1:7" x14ac:dyDescent="0.25">
      <c r="A40" s="62">
        <f>IF(ISBLANK(B40),"",_xlfn.ISOWEEKNUM('Journal de travail'!$B40))</f>
        <v>40</v>
      </c>
      <c r="B40" s="30">
        <v>46293</v>
      </c>
      <c r="C40" s="31"/>
      <c r="D40" s="32">
        <v>5</v>
      </c>
      <c r="E40" s="33" t="s">
        <v>17</v>
      </c>
      <c r="F40" s="22" t="s">
        <v>73</v>
      </c>
      <c r="G40" s="39"/>
    </row>
    <row r="41" spans="1:7" ht="47.25" x14ac:dyDescent="0.25">
      <c r="A41" s="63">
        <f>IF(ISBLANK(B41),"",_xlfn.ISOWEEKNUM('Journal de travail'!$B41))</f>
        <v>41</v>
      </c>
      <c r="B41" s="34">
        <v>46300</v>
      </c>
      <c r="C41" s="35"/>
      <c r="D41" s="36">
        <v>5</v>
      </c>
      <c r="E41" s="37" t="s">
        <v>14</v>
      </c>
      <c r="F41" s="22" t="s">
        <v>74</v>
      </c>
      <c r="G41" s="40" t="s">
        <v>75</v>
      </c>
    </row>
    <row r="42" spans="1:7" ht="47.25" x14ac:dyDescent="0.25">
      <c r="A42" s="62">
        <f>IF(ISBLANK(B42),"",_xlfn.ISOWEEKNUM('Journal de travail'!$B42))</f>
        <v>41</v>
      </c>
      <c r="B42" s="30">
        <v>46300</v>
      </c>
      <c r="C42" s="31"/>
      <c r="D42" s="32">
        <v>10</v>
      </c>
      <c r="E42" s="33" t="s">
        <v>15</v>
      </c>
      <c r="F42" s="22" t="s">
        <v>41</v>
      </c>
      <c r="G42" s="39" t="s">
        <v>77</v>
      </c>
    </row>
    <row r="43" spans="1:7" x14ac:dyDescent="0.25">
      <c r="A43" s="63">
        <f>IF(ISBLANK(B43),"",_xlfn.ISOWEEKNUM('Journal de travail'!$B43))</f>
        <v>41</v>
      </c>
      <c r="B43" s="34">
        <v>46300</v>
      </c>
      <c r="C43" s="35"/>
      <c r="D43" s="36">
        <v>15</v>
      </c>
      <c r="E43" s="37" t="s">
        <v>15</v>
      </c>
      <c r="F43" s="22" t="s">
        <v>76</v>
      </c>
      <c r="G43" s="40"/>
    </row>
    <row r="44" spans="1:7" ht="31.5" x14ac:dyDescent="0.25">
      <c r="A44" s="62">
        <f>IF(ISBLANK(B44),"",_xlfn.ISOWEEKNUM('Journal de travail'!$B44))</f>
        <v>41</v>
      </c>
      <c r="B44" s="30">
        <v>46300</v>
      </c>
      <c r="C44" s="31">
        <v>1</v>
      </c>
      <c r="D44" s="32">
        <v>10</v>
      </c>
      <c r="E44" s="33" t="s">
        <v>15</v>
      </c>
      <c r="F44" s="23" t="s">
        <v>78</v>
      </c>
      <c r="G44" s="39" t="s">
        <v>79</v>
      </c>
    </row>
    <row r="45" spans="1:7" x14ac:dyDescent="0.25">
      <c r="A45" s="63">
        <f>IF(ISBLANK(B45),"",_xlfn.ISOWEEKNUM('Journal de travail'!$B45))</f>
        <v>41</v>
      </c>
      <c r="B45" s="34">
        <v>46300</v>
      </c>
      <c r="C45" s="35"/>
      <c r="D45" s="36">
        <v>30</v>
      </c>
      <c r="E45" s="37" t="s">
        <v>15</v>
      </c>
      <c r="F45" s="22" t="s">
        <v>80</v>
      </c>
      <c r="G45" s="40"/>
    </row>
    <row r="46" spans="1:7" x14ac:dyDescent="0.25">
      <c r="A46" s="62">
        <f>IF(ISBLANK(B46),"",_xlfn.ISOWEEKNUM('Journal de travail'!$B46))</f>
        <v>41</v>
      </c>
      <c r="B46" s="30">
        <v>46300</v>
      </c>
      <c r="C46" s="31"/>
      <c r="D46" s="32">
        <v>25</v>
      </c>
      <c r="E46" s="33" t="s">
        <v>15</v>
      </c>
      <c r="F46" s="22" t="s">
        <v>81</v>
      </c>
      <c r="G46" s="39"/>
    </row>
    <row r="47" spans="1:7" x14ac:dyDescent="0.25">
      <c r="A47" s="63">
        <f>IF(ISBLANK(B47),"",_xlfn.ISOWEEKNUM('Journal de travail'!$B47))</f>
        <v>41</v>
      </c>
      <c r="B47" s="34">
        <v>46300</v>
      </c>
      <c r="C47" s="35"/>
      <c r="D47" s="36">
        <v>20</v>
      </c>
      <c r="E47" s="37" t="s">
        <v>15</v>
      </c>
      <c r="F47" s="22" t="s">
        <v>82</v>
      </c>
      <c r="G47" s="40" t="s">
        <v>83</v>
      </c>
    </row>
    <row r="48" spans="1:7" x14ac:dyDescent="0.25">
      <c r="A48" s="62">
        <f>IF(ISBLANK(B48),"",_xlfn.ISOWEEKNUM('Journal de travail'!$B48))</f>
        <v>41</v>
      </c>
      <c r="B48" s="30">
        <v>46300</v>
      </c>
      <c r="C48" s="31"/>
      <c r="D48" s="32">
        <v>10</v>
      </c>
      <c r="E48" s="33" t="s">
        <v>17</v>
      </c>
      <c r="F48" s="22" t="s">
        <v>84</v>
      </c>
      <c r="G48" s="39"/>
    </row>
    <row r="49" spans="1:7" x14ac:dyDescent="0.25">
      <c r="A49" s="63">
        <f>IF(ISBLANK(B49),"",_xlfn.ISOWEEKNUM('Journal de travail'!$B49))</f>
        <v>41</v>
      </c>
      <c r="B49" s="34">
        <v>46302</v>
      </c>
      <c r="C49" s="35"/>
      <c r="D49" s="36">
        <v>15</v>
      </c>
      <c r="E49" s="37" t="s">
        <v>14</v>
      </c>
      <c r="F49" s="22" t="s">
        <v>85</v>
      </c>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scale="52"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N6" sqref="N6"/>
    </sheetView>
  </sheetViews>
  <sheetFormatPr baseColWidth="10"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90</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185</v>
      </c>
      <c r="C6">
        <f t="shared" ref="C6:C10" si="0">SUM(A6:B6)</f>
        <v>245</v>
      </c>
      <c r="E6" s="70" t="str">
        <f>'Journal de travail'!M8</f>
        <v>Analyse</v>
      </c>
      <c r="F6" s="71" t="str">
        <f>QUOTIENT(SUM(A6:B6),60)&amp;" h "&amp;TEXT(MOD(SUM(A6:B6),60), "00")&amp;" min"</f>
        <v>4 h 05 min</v>
      </c>
      <c r="G6" s="72">
        <f>SUM(A6:B6)/$C$11</f>
        <v>0.22374429223744291</v>
      </c>
      <c r="L6" s="51" t="str">
        <f>'Journal de travail'!M8</f>
        <v>Analyse</v>
      </c>
      <c r="M6" s="52" t="str">
        <f>INT($F$2*N6)&amp;" h "&amp;TEXT(ROUND(MOD($F$2*N6,1)*60,0),"00")&amp;" m"</f>
        <v>18 h 00 m</v>
      </c>
      <c r="N6" s="58">
        <v>0.2</v>
      </c>
    </row>
    <row r="7" spans="1:14" x14ac:dyDescent="0.3">
      <c r="A7">
        <f>SUMIF('Journal de travail'!$E$7:$E$532,Plannification!E7,'Journal de travail'!$C$7:$C$532)*60</f>
        <v>300</v>
      </c>
      <c r="B7">
        <f>SUMIF('Journal de travail'!$E$7:$E$532,Plannification!E7,'Journal de travail'!$D$7:$D$532)</f>
        <v>450</v>
      </c>
      <c r="C7">
        <f t="shared" si="0"/>
        <v>750</v>
      </c>
      <c r="E7" s="73" t="str">
        <f>'Journal de travail'!M9</f>
        <v>Implémentation</v>
      </c>
      <c r="F7" s="74" t="str">
        <f t="shared" ref="F7:F11" si="1">QUOTIENT(SUM(A7:B7),60)&amp;" h "&amp;TEXT(MOD(SUM(A7:B7),60), "00")&amp;" min"</f>
        <v>12 h 30 min</v>
      </c>
      <c r="G7" s="75">
        <f t="shared" ref="G7:G9" si="2">SUM(A7:B7)/$C$11</f>
        <v>0.68493150684931503</v>
      </c>
      <c r="L7" s="53" t="str">
        <f>'Journal de travail'!M9</f>
        <v>Implémentation</v>
      </c>
      <c r="M7" s="52" t="str">
        <f t="shared" ref="M7:M10" si="3">INT($F$2*N7)&amp;" h "&amp;TEXT(ROUND(MOD($F$2*N7,1)*60,0),"00")&amp;" m"</f>
        <v>31 h 30 m</v>
      </c>
      <c r="N7" s="59">
        <v>0.35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4 h 30 m</v>
      </c>
      <c r="N8" s="58">
        <v>0.05</v>
      </c>
    </row>
    <row r="9" spans="1:14" x14ac:dyDescent="0.3">
      <c r="A9">
        <f>SUMIF('Journal de travail'!$E$7:$E$532,Plannification!E9,'Journal de travail'!$C$7:$C$532)*60</f>
        <v>0</v>
      </c>
      <c r="B9">
        <f>SUMIF('Journal de travail'!$E$7:$E$532,Plannification!E9,'Journal de travail'!$D$7:$D$532)</f>
        <v>100</v>
      </c>
      <c r="C9">
        <f t="shared" si="0"/>
        <v>100</v>
      </c>
      <c r="E9" s="77" t="str">
        <f>'Journal de travail'!M11</f>
        <v>Documentation</v>
      </c>
      <c r="F9" s="74" t="str">
        <f t="shared" si="1"/>
        <v>1 h 40 min</v>
      </c>
      <c r="G9" s="75">
        <f t="shared" si="2"/>
        <v>9.1324200913242004E-2</v>
      </c>
      <c r="L9" s="55" t="str">
        <f>'Journal de travail'!M11</f>
        <v>Documentation</v>
      </c>
      <c r="M9" s="52" t="str">
        <f t="shared" si="3"/>
        <v>36 h 00 m</v>
      </c>
      <c r="N9" s="59">
        <v>0.4</v>
      </c>
    </row>
    <row r="10" spans="1:14" hidden="1"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360</v>
      </c>
      <c r="B11">
        <f>SUM(B6:B10)</f>
        <v>735</v>
      </c>
      <c r="C11">
        <f>SUM(A11:B11)</f>
        <v>1095</v>
      </c>
      <c r="E11" s="81" t="s">
        <v>29</v>
      </c>
      <c r="F11" s="71" t="str">
        <f t="shared" si="1"/>
        <v>18 h 15 min</v>
      </c>
      <c r="G11" s="82">
        <f>C11/C12</f>
        <v>0.20277777777777778</v>
      </c>
      <c r="L11" s="56" t="s">
        <v>29</v>
      </c>
      <c r="M11" s="57"/>
      <c r="N11" s="60">
        <f>SUM(N6:N10)</f>
        <v>1</v>
      </c>
    </row>
    <row r="12" spans="1:14" x14ac:dyDescent="0.3">
      <c r="C12">
        <f>F2*60</f>
        <v>5400</v>
      </c>
    </row>
    <row r="13" spans="1:14" x14ac:dyDescent="0.3">
      <c r="F13" s="43"/>
    </row>
  </sheetData>
  <sheetProtection algorithmName="SHA-512" hashValue="u6Q3+o7a9rb9ajPGMQFXFJBxNR95C93y6qzzKCld0gZtCTYGL+7OMe+WbK2ki7xwzk+WSRqA9/xPSrIc7CBoPg==" saltValue="e1RdssACZUGVypOFgaRLDA==" spinCount="100000" sheet="1" objects="1" scenarios="1"/>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topLeftCell="A10" zoomScaleNormal="100" workbookViewId="0">
      <selection activeCell="R14" sqref="R14"/>
    </sheetView>
  </sheetViews>
  <sheetFormatPr baseColWidth="10"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20a0681-8b2f-4a46-9dab-cf1520193f81">
      <Terms xmlns="http://schemas.microsoft.com/office/infopath/2007/PartnerControls"/>
    </lcf76f155ced4ddcb4097134ff3c332f>
    <TaxCatchAll xmlns="932fafb7-d8e0-4a14-bee3-33aad5c71309"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1120F001D1794FAA6F4057E3355991" ma:contentTypeVersion="10" ma:contentTypeDescription="Crée un document." ma:contentTypeScope="" ma:versionID="62349bcdb43c26c508700efba1cb50b1">
  <xsd:schema xmlns:xsd="http://www.w3.org/2001/XMLSchema" xmlns:xs="http://www.w3.org/2001/XMLSchema" xmlns:p="http://schemas.microsoft.com/office/2006/metadata/properties" xmlns:ns2="f20a0681-8b2f-4a46-9dab-cf1520193f81" xmlns:ns3="932fafb7-d8e0-4a14-bee3-33aad5c71309" targetNamespace="http://schemas.microsoft.com/office/2006/metadata/properties" ma:root="true" ma:fieldsID="0e5d6db3f342a25e0e30f4a2965162e1" ns2:_="" ns3:_="">
    <xsd:import namespace="f20a0681-8b2f-4a46-9dab-cf1520193f81"/>
    <xsd:import namespace="932fafb7-d8e0-4a14-bee3-33aad5c7130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0a0681-8b2f-4a46-9dab-cf1520193f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32fafb7-d8e0-4a14-bee3-33aad5c7130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eeb120a-7290-4c31-81ff-683cec3c1602}" ma:internalName="TaxCatchAll" ma:showField="CatchAllData" ma:web="932fafb7-d8e0-4a14-bee3-33aad5c713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453EC0E-0298-408B-815C-A1500DB4F5E9}">
  <ds:schemaRefs>
    <ds:schemaRef ds:uri="http://purl.org/dc/dcmitype/"/>
    <ds:schemaRef ds:uri="http://purl.org/dc/terms/"/>
    <ds:schemaRef ds:uri="f20a0681-8b2f-4a46-9dab-cf1520193f81"/>
    <ds:schemaRef ds:uri="http://purl.org/dc/elements/1.1/"/>
    <ds:schemaRef ds:uri="http://www.w3.org/XML/1998/namespace"/>
    <ds:schemaRef ds:uri="http://schemas.microsoft.com/office/infopath/2007/PartnerControls"/>
    <ds:schemaRef ds:uri="http://schemas.microsoft.com/office/2006/documentManagement/types"/>
    <ds:schemaRef ds:uri="http://schemas.microsoft.com/office/2006/metadata/properties"/>
    <ds:schemaRef ds:uri="http://schemas.openxmlformats.org/package/2006/metadata/core-properties"/>
    <ds:schemaRef ds:uri="932fafb7-d8e0-4a14-bee3-33aad5c71309"/>
  </ds:schemaRefs>
</ds:datastoreItem>
</file>

<file path=customXml/itemProps2.xml><?xml version="1.0" encoding="utf-8"?>
<ds:datastoreItem xmlns:ds="http://schemas.openxmlformats.org/officeDocument/2006/customXml" ds:itemID="{1424D28F-D6A9-45ED-AED5-A0D744400E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0a0681-8b2f-4a46-9dab-cf1520193f81"/>
    <ds:schemaRef ds:uri="932fafb7-d8e0-4a14-bee3-33aad5c713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Kiril Bormin</cp:lastModifiedBy>
  <cp:revision/>
  <cp:lastPrinted>2026-08-31T09:21:59Z</cp:lastPrinted>
  <dcterms:created xsi:type="dcterms:W3CDTF">2023-11-21T20:00:34Z</dcterms:created>
  <dcterms:modified xsi:type="dcterms:W3CDTF">2026-10-07T10:14:36Z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0x0101005B1120F001D1794FAA6F4057E3355991</vt:lpwstr>
  </property>
  <property fmtid="{D5CDD505-2E9C-101B-9397-08002B2CF9AE}" pid="3" name="MediaServiceImageTags">
    <vt:lpwstr/>
  </property>
</Properties>
</file>