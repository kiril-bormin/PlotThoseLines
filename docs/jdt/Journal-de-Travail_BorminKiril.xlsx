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4867856C-56A7-4626-95B6-414629032E98}" xr6:coauthVersionLast="47" xr6:coauthVersionMax="47" xr10:uidLastSave="{00000000-0000-0000-0000-000000000000}"/>
  <bookViews>
    <workbookView xWindow="3885" yWindow="1830" windowWidth="21600" windowHeight="1330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<sst xmlns="http://schemas.openxmlformats.org/spreadsheetml/2006/main" count="85" uniqueCount="56">
  <si>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</si>
  <si>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</si>
  <si>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</si>
  <si>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</si>
  <si>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</si>
  <si>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</si>
  <si>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</si>
  <si>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</si>
  <si>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</si>
  <si>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</si>
  <si>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</si>
  <si>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</si>
  <si>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</si>
  <si>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</si>
  <si>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</si>
  <si>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</si>
  <si>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</si>
  <si>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</si>
  <si>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</si>
  <si>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</si>
  <si>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</si>
  <si>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</si>
  <si>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</si>
  <si>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</si>
  <si>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</si>
  <si>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</si>
  <si>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</si>
  <si>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</si>
  <si>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</si>
  <si>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</si>
  <si>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</si>
  <si>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</si>
  <si>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</si>
  <si>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</si>
  <si>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Amélioration des US</t>
  </si>
  <si>
    <t>Création de la planificaiton simple</t>
  </si>
  <si>
    <t>Utiliser un modèle de rapport</t>
  </si>
  <si>
    <t>Création de la maquette</t>
  </si>
  <si>
    <t>Ajout de tests d'acceptence à chaque fois, image de la maquette, US atomiques</t>
  </si>
  <si>
    <t>Remplissage du rapport</t>
  </si>
  <si>
    <t>J'ai ajouté les sections description, objectifs, analyse fonctionnelle et planificaiton simple</t>
  </si>
  <si>
    <t>Daily Scrum</t>
  </si>
  <si>
    <t xml:space="preserve">Analyse de travail fait la dernière fois, j'ai fini avec les US, l'into du rapport et la planification, aujourd'hui je m'attaque au code </t>
  </si>
  <si>
    <t>Ajout du composant ScottPlot dans le projet</t>
  </si>
  <si>
    <t>Écriture du fichier DataPoint</t>
  </si>
  <si>
    <t>Création du fichier DataSerie</t>
  </si>
  <si>
    <t xml:space="preserve">J'ai dû passer beaucoup de temps sur la création de ce composant, en décorticant chaque ligne, parce que initialement j'ai pas très bien compris le concept </t>
  </si>
  <si>
    <t>Introduction dans la journée par le chef du projet</t>
  </si>
  <si>
    <t>Introduction au projet par le chef du projet</t>
  </si>
  <si>
    <t>Le Chef du projet a expliqué les buts du projet et le déroulement</t>
  </si>
  <si>
    <t>Informations supplémentaires par le chef de projet</t>
  </si>
  <si>
    <t>Test de ScottPlot avec des données fausses</t>
  </si>
  <si>
    <t>Feedback de chef de projet par rapport au US, rapport et jdt</t>
  </si>
  <si>
    <t>Remplissage du jdt</t>
  </si>
  <si>
    <t>Correction du rapport + ajout d'infos dans la section bilan de planification</t>
  </si>
  <si>
    <t>Recherche de fichiers avec les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</si>
</sst>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150</c:v>
                </c:pt>
                <c:pt idx="1">
                  <c:v>310</c:v>
                </c:pt>
                <c:pt idx="2">
                  <c:v>0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0.28301886792452829</c:v>
                </c:pt>
                <c:pt idx="1">
                  <c:v>0.58490566037735847</c:v>
                </c:pt>
                <c:pt idx="2">
                  <c:v>0</c:v>
                </c:pt>
                <c:pt idx="3">
                  <c:v>0.13207547169811321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E28" sqref="E28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8 heures 50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410</v>
      </c>
      <c r="E4" s="24">
        <f>SUM(C4:D4)</f>
        <v>530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>
        <v>1</v>
      </c>
      <c r="D7" s="28">
        <v>30</v>
      </c>
      <c r="E7" s="29" t="s">
        <v>14</v>
      </c>
      <c r="F7" s="23" t="s">
        <v>48</v>
      </c>
      <c r="G7" s="38" t="s">
        <v>49</v>
      </c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20</v>
      </c>
      <c r="E8" s="33" t="s">
        <v>15</v>
      </c>
      <c r="F8" s="23" t="s">
        <v>32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40</v>
      </c>
      <c r="E9" s="37" t="s">
        <v>15</v>
      </c>
      <c r="F9" s="23" t="s">
        <v>33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10</v>
      </c>
      <c r="E10" s="33" t="s">
        <v>17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46258</v>
      </c>
      <c r="C11" s="35"/>
      <c r="D11" s="36">
        <v>15</v>
      </c>
      <c r="E11" s="37" t="s">
        <v>15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46265</v>
      </c>
      <c r="C12" s="31"/>
      <c r="D12" s="32">
        <v>20</v>
      </c>
      <c r="E12" s="33" t="s">
        <v>14</v>
      </c>
      <c r="F12" s="23" t="s">
        <v>50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46265</v>
      </c>
      <c r="C13" s="35"/>
      <c r="D13" s="36">
        <v>10</v>
      </c>
      <c r="E13" s="37" t="s">
        <v>14</v>
      </c>
      <c r="F13" s="23" t="s">
        <v>41</v>
      </c>
      <c r="G13" s="40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46265</v>
      </c>
      <c r="C14" s="31"/>
      <c r="D14" s="32">
        <v>25</v>
      </c>
      <c r="E14" s="33" t="s">
        <v>15</v>
      </c>
      <c r="F14" s="23" t="s">
        <v>35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36</v>
      </c>
      <c r="B15" s="34">
        <v>46265</v>
      </c>
      <c r="C15" s="35"/>
      <c r="D15" s="36">
        <v>40</v>
      </c>
      <c r="E15" s="37" t="s">
        <v>15</v>
      </c>
      <c r="F15" s="23" t="s">
        <v>37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36</v>
      </c>
      <c r="B16" s="30">
        <v>46265</v>
      </c>
      <c r="C16" s="31"/>
      <c r="D16" s="32">
        <v>40</v>
      </c>
      <c r="E16" s="33" t="s">
        <v>15</v>
      </c>
      <c r="F16" s="23" t="s">
        <v>34</v>
      </c>
      <c r="G16" s="39" t="s">
        <v>38</v>
      </c>
      <c r="O16">
        <v>40</v>
      </c>
    </row>
    <row r="17" spans="1:15" x14ac:dyDescent="0.25">
      <c r="A17" s="63">
        <f>IF(ISBLANK(B17),"",_xlfn.ISOWEEKNUM('Journal de travail'!$B17))</f>
        <v>36</v>
      </c>
      <c r="B17" s="34">
        <v>46265</v>
      </c>
      <c r="C17" s="35"/>
      <c r="D17" s="36">
        <v>45</v>
      </c>
      <c r="E17" s="37" t="s">
        <v>17</v>
      </c>
      <c r="F17" s="23" t="s">
        <v>39</v>
      </c>
      <c r="G17" s="40" t="s">
        <v>40</v>
      </c>
      <c r="O17">
        <v>45</v>
      </c>
    </row>
    <row r="18" spans="1:15" x14ac:dyDescent="0.25">
      <c r="A18" s="62">
        <f>IF(ISBLANK(B18),"",_xlfn.ISOWEEKNUM('Journal de travail'!$B18))</f>
        <v>37</v>
      </c>
      <c r="B18" s="30">
        <v>46272</v>
      </c>
      <c r="C18" s="31"/>
      <c r="D18" s="32">
        <v>10</v>
      </c>
      <c r="E18" s="33" t="s">
        <v>14</v>
      </c>
      <c r="F18" s="23" t="s">
        <v>47</v>
      </c>
      <c r="G18" s="39"/>
      <c r="O18">
        <v>50</v>
      </c>
    </row>
    <row r="19" spans="1:15" ht="31.5" x14ac:dyDescent="0.25">
      <c r="A19" s="63">
        <f>IF(ISBLANK(B19),"",_xlfn.ISOWEEKNUM('Journal de travail'!$B19))</f>
        <v>37</v>
      </c>
      <c r="B19" s="34">
        <v>46272</v>
      </c>
      <c r="C19" s="35"/>
      <c r="D19" s="36">
        <v>10</v>
      </c>
      <c r="E19" s="37" t="s">
        <v>14</v>
      </c>
      <c r="F19" s="23" t="s">
        <v>41</v>
      </c>
      <c r="G19" s="40" t="s">
        <v>42</v>
      </c>
      <c r="O19">
        <v>55</v>
      </c>
    </row>
    <row r="20" spans="1:15" x14ac:dyDescent="0.25">
      <c r="A20" s="62">
        <f>IF(ISBLANK(B20),"",_xlfn.ISOWEEKNUM('Journal de travail'!$B20))</f>
        <v>37</v>
      </c>
      <c r="B20" s="30">
        <v>46272</v>
      </c>
      <c r="C20" s="31"/>
      <c r="D20" s="32">
        <v>10</v>
      </c>
      <c r="E20" s="33" t="s">
        <v>15</v>
      </c>
      <c r="F20" s="23" t="s">
        <v>43</v>
      </c>
      <c r="G20" s="39"/>
    </row>
    <row r="21" spans="1:15" x14ac:dyDescent="0.25">
      <c r="A21" s="63">
        <f>IF(ISBLANK(B21),"",_xlfn.ISOWEEKNUM('Journal de travail'!$B21))</f>
        <v>37</v>
      </c>
      <c r="B21" s="34">
        <v>46272</v>
      </c>
      <c r="C21" s="35"/>
      <c r="D21" s="36">
        <v>20</v>
      </c>
      <c r="E21" s="37" t="s">
        <v>15</v>
      </c>
      <c r="F21" s="23" t="s">
        <v>44</v>
      </c>
      <c r="G21" s="40"/>
    </row>
    <row r="22" spans="1:15" x14ac:dyDescent="0.25">
      <c r="A22" s="62">
        <f>IF(ISBLANK(B22),"",_xlfn.ISOWEEKNUM('Journal de travail'!$B22))</f>
        <v>37</v>
      </c>
      <c r="B22" s="30">
        <v>46272</v>
      </c>
      <c r="C22" s="31">
        <v>1</v>
      </c>
      <c r="D22" s="32"/>
      <c r="E22" s="33" t="s">
        <v>15</v>
      </c>
      <c r="F22" s="23" t="s">
        <v>45</v>
      </c>
      <c r="G22" s="39" t="s">
        <v>46</v>
      </c>
    </row>
    <row r="23" spans="1:15" x14ac:dyDescent="0.25">
      <c r="A23" s="63">
        <f>IF(ISBLANK(B23),"",_xlfn.ISOWEEKNUM('Journal de travail'!$B23))</f>
        <v>37</v>
      </c>
      <c r="B23" s="34">
        <v>46272</v>
      </c>
      <c r="C23" s="35"/>
      <c r="D23" s="36">
        <v>30</v>
      </c>
      <c r="E23" s="37" t="s">
        <v>15</v>
      </c>
      <c r="F23" s="23" t="s">
        <v>51</v>
      </c>
      <c r="G23" s="40"/>
    </row>
    <row r="24" spans="1:15" x14ac:dyDescent="0.25">
      <c r="A24" s="62">
        <f>IF(ISBLANK(B24),"",_xlfn.ISOWEEKNUM('Journal de travail'!$B24))</f>
        <v>37</v>
      </c>
      <c r="B24" s="30">
        <v>46272</v>
      </c>
      <c r="C24" s="31"/>
      <c r="D24" s="32">
        <v>10</v>
      </c>
      <c r="E24" s="33" t="s">
        <v>14</v>
      </c>
      <c r="F24" s="23" t="s">
        <v>52</v>
      </c>
      <c r="G24" s="39"/>
    </row>
    <row r="25" spans="1:15" x14ac:dyDescent="0.25">
      <c r="A25" s="63">
        <f>IF(ISBLANK(B25),"",_xlfn.ISOWEEKNUM('Journal de travail'!$B25))</f>
        <v>37</v>
      </c>
      <c r="B25" s="34">
        <v>46272</v>
      </c>
      <c r="C25" s="35"/>
      <c r="D25" s="36">
        <v>5</v>
      </c>
      <c r="E25" s="37" t="s">
        <v>17</v>
      </c>
      <c r="F25" s="23" t="s">
        <v>53</v>
      </c>
      <c r="G25" s="40"/>
    </row>
    <row r="26" spans="1:15" x14ac:dyDescent="0.25">
      <c r="A26" s="62">
        <f>IF(ISBLANK(B26),"",_xlfn.ISOWEEKNUM('Journal de travail'!$B26))</f>
        <v>37</v>
      </c>
      <c r="B26" s="30">
        <v>46272</v>
      </c>
      <c r="C26" s="31"/>
      <c r="D26" s="32">
        <v>10</v>
      </c>
      <c r="E26" s="33" t="s">
        <v>17</v>
      </c>
      <c r="F26" s="23" t="s">
        <v>54</v>
      </c>
      <c r="G26" s="39"/>
    </row>
    <row r="27" spans="1:15" x14ac:dyDescent="0.25">
      <c r="A27" s="63">
        <f>IF(ISBLANK(B27),"",_xlfn.ISOWEEKNUM('Journal de travail'!$B27))</f>
        <v>37</v>
      </c>
      <c r="B27" s="34">
        <v>46272</v>
      </c>
      <c r="C27" s="35"/>
      <c r="D27" s="36">
        <v>10</v>
      </c>
      <c r="E27" s="37" t="s">
        <v>15</v>
      </c>
      <c r="F27" s="23" t="s">
        <v>55</v>
      </c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scale="52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90</v>
      </c>
      <c r="C6">
        <f t="shared" ref="C6:C10" si="0">SUM(A6:B6)</f>
        <v>150</v>
      </c>
      <c r="E6" s="70" t="str">
        <f>'Journal de travail'!M8</f>
        <v>Analyse</v>
      </c>
      <c r="F6" s="71" t="str">
        <f>QUOTIENT(SUM(A6:B6),60)&amp;" h "&amp;TEXT(MOD(SUM(A6:B6),60), "00")&amp;" min"</f>
        <v>2 h 30 min</v>
      </c>
      <c r="G6" s="72">
        <f>SUM(A6:B6)/$C$11</f>
        <v>0.28301886792452829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250</v>
      </c>
      <c r="C7">
        <f t="shared" si="0"/>
        <v>310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5 h 10 min</v>
      </c>
      <c r="G7" s="75">
        <f t="shared" ref="G7:G9" si="2">SUM(A7:B7)/$C$11</f>
        <v>0.58490566037735847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70</v>
      </c>
      <c r="C9">
        <f t="shared" si="0"/>
        <v>70</v>
      </c>
      <c r="E9" s="77" t="str">
        <f>'Journal de travail'!M11</f>
        <v>Documentation</v>
      </c>
      <c r="F9" s="74" t="str">
        <f t="shared" si="1"/>
        <v>1 h 10 min</v>
      </c>
      <c r="G9" s="75">
        <f t="shared" si="2"/>
        <v>0.13207547169811321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410</v>
      </c>
      <c r="C11">
        <f>SUM(A11:B11)</f>
        <v>530</v>
      </c>
      <c r="E11" s="81" t="s">
        <v>29</v>
      </c>
      <c r="F11" s="71" t="str">
        <f t="shared" si="1"/>
        <v>8 h 50 min</v>
      </c>
      <c r="G11" s="82">
        <f>C11/C12</f>
        <v>9.8148148148148151E-2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purl.org/dc/dcmitype/"/>
    <ds:schemaRef ds:uri="http://purl.org/dc/terms/"/>
    <ds:schemaRef ds:uri="f20a0681-8b2f-4a46-9dab-cf1520193f81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932fafb7-d8e0-4a14-bee3-33aad5c71309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cp:lastPrinted>2026-08-31T09:21:59Z</cp:lastPrinted>
  <dcterms:created xsi:type="dcterms:W3CDTF">2023-11-21T20:00:34Z</dcterms:created>
  <dcterms:modified xsi:type="dcterms:W3CDTF">2026-09-07T09:23:00Z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