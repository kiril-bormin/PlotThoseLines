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C012618B-47CD-46C8-82C3-4648B7303650}" xr6:coauthVersionLast="47" xr6:coauthVersionMax="47" xr10:uidLastSave="{00000000-0000-0000-0000-000000000000}"/>
  <bookViews>
    <workbookView xWindow="2868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1" l="1" a="1"/>
  <c r="N11" i="2"/>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<sst xmlns="http://schemas.openxmlformats.org/spreadsheetml/2006/main" count="138" uniqueCount="85">
  <si>
    <t>Journal de travail</t>
  </si>
  <si>
    <t>Auteur:</t>
  </si>
  <si>
    <t>Bormin Kiril</t>
  </si>
  <si>
    <t>Projet:</t>
  </si>
  <si>
    <t>Temps total:</t>
  </si>
  <si>
    <t>Date:</t>
  </si>
  <si>
    <t>Temps</t>
  </si>
  <si>
    <t>Semaine</t>
  </si>
  <si>
    <t>Jour</t>
  </si>
  <si>
    <t xml:space="preserve">h.      </t>
  </si>
  <si>
    <t>min.</t>
  </si>
  <si>
    <t>Type</t>
  </si>
  <si>
    <t>Description</t>
  </si>
  <si>
    <t>Remarques/problèmes</t>
  </si>
  <si>
    <t>Analyse</t>
  </si>
  <si>
    <t>Implémentation</t>
  </si>
  <si>
    <t>Test</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</si>
  <si>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</si>
  <si>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</si>
  <si>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</si>
  <si>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</si>
  <si>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</si>
  <si>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</si>
  <si>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</si>
  <si>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</si>
  <si>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</si>
  <si>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</si>
  <si>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</si>
  <si>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</si>
  <si>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</si>
  <si>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P_FUN - PlotThoseLines</t>
  </si>
  <si>
    <t>24.08.2026 - 30.10.2026</t>
  </si>
  <si>
    <t>Mise en place des outils de versionning et suivi de travail</t>
  </si>
  <si>
    <t xml:space="preserve">Création des user stories </t>
  </si>
  <si>
    <t>Amélioration des US</t>
  </si>
  <si>
    <t>Création de la planificaiton simple</t>
  </si>
  <si>
    <t>Utiliser un modèle de rapport</t>
  </si>
  <si>
    <t>Création de la maquette</t>
  </si>
  <si>
    <t>Ajout de tests d'acceptence à chaque fois, image de la maquette, US atomiques</t>
  </si>
  <si>
    <t>Remplissage du rapport</t>
  </si>
  <si>
    <t>J'ai ajouté les sections description, objectifs, analyse fonctionnelle et planificaiton simple</t>
  </si>
  <si>
    <t>Daily Scrum</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</si>
  <si>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</si>
  <si>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</si>
  <si>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</si>
  <si>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</si>
  <si>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</si>
  <si>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Introduction dans la journée par le chef du projet</t>
  </si>
  <si>
    <t>Introduction au projet par le chef du projet</t>
  </si>
  <si>
    <t>Le Chef du projet a expliqué les buts du projet et le déroulement</t>
  </si>
  <si>
    <t>Informations supplémentaires par le chef de projet</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</si>
  <si>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</si>
  <si>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</si>
  <si>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</si>
  <si>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</si>
  <si>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</si>
  <si>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</si>
  <si>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</si>
  <si>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</si>
  <si>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</si>
  <si>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</si>
  <si>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</si>
  <si>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</si>
  <si>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</si>
  <si>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</si>
  <si>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</si>
  <si>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</si>
  <si>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</si>
  <si>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</si>
  <si>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</si>
  <si>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</si>
  <si>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</si>
  <si>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</si>
  <si>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</si>
  <si>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</si>
  <si>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</si>
  <si>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Correction du dossier de sauvegarde</t>
  </si>
  <si>
    <t>Je commence par l'ajout d'un fichier pour le même graphique, en enchaînant avec la logique de remplacement des anciens points si la nouvelle série contient  des points communs avec l'ancienne.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</si>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</sst>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230</c:v>
                </c:pt>
                <c:pt idx="1">
                  <c:v>750</c:v>
                </c:pt>
                <c:pt idx="2">
                  <c:v>0</c:v>
                </c:pt>
                <c:pt idx="3">
                  <c:v>100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0.21296296296296297</c:v>
                </c:pt>
                <c:pt idx="1">
                  <c:v>0.69444444444444442</c:v>
                </c:pt>
                <c:pt idx="2">
                  <c:v>0</c:v>
                </c:pt>
                <c:pt idx="3">
                  <c:v>9.2592592592592587E-2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37" activePane="bottomLeft" state="frozen"/>
      <selection pane="bottomLeft" activeCell="E49" sqref="E49"/>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18 heures 0 minutes</v>
      </c>
      <c r="D3" s="17"/>
      <c r="E3" s="3"/>
      <c r="F3" s="4" t="s">
        <v>5</v>
      </c>
      <c r="G3" s="65" t="s">
        <v>31</v>
      </c>
    </row>
    <row r="4" spans="1:15" ht="23.25" hidden="1" x14ac:dyDescent="0.35">
      <c r="B4" s="5"/>
      <c r="C4" s="17">
        <f>SUBTOTAL(9,$C$7:$C$531)*60</f>
        <v>360</v>
      </c>
      <c r="D4" s="17">
        <f>SUBTOTAL(9,$D$7:$D$531)</f>
        <v>720</v>
      </c>
      <c r="E4" s="24">
        <f>SUM(C4:D4)</f>
        <v>1080</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46258</v>
      </c>
      <c r="C7" s="27">
        <v>1</v>
      </c>
      <c r="D7" s="28">
        <v>30</v>
      </c>
      <c r="E7" s="29" t="s">
        <v>14</v>
      </c>
      <c r="F7" s="23" t="s">
        <v>48</v>
      </c>
      <c r="G7" s="38" t="s">
        <v>49</v>
      </c>
    </row>
    <row r="8" spans="1:15" x14ac:dyDescent="0.25">
      <c r="A8" s="62">
        <f>IF(ISBLANK(B8),"",_xlfn.ISOWEEKNUM('Journal de travail'!$B8))</f>
        <v>35</v>
      </c>
      <c r="B8" s="30">
        <v>46258</v>
      </c>
      <c r="C8" s="31"/>
      <c r="D8" s="32">
        <v>20</v>
      </c>
      <c r="E8" s="33" t="s">
        <v>15</v>
      </c>
      <c r="F8" s="23" t="s">
        <v>32</v>
      </c>
      <c r="G8" s="39"/>
      <c r="M8" t="s">
        <v>14</v>
      </c>
      <c r="N8">
        <v>1</v>
      </c>
      <c r="O8">
        <v>0</v>
      </c>
    </row>
    <row r="9" spans="1:15" x14ac:dyDescent="0.25">
      <c r="A9" s="63">
        <f>IF(ISBLANK(B9),"",_xlfn.ISOWEEKNUM('Journal de travail'!$B9))</f>
        <v>35</v>
      </c>
      <c r="B9" s="34">
        <v>46258</v>
      </c>
      <c r="C9" s="35"/>
      <c r="D9" s="36">
        <v>40</v>
      </c>
      <c r="E9" s="37" t="s">
        <v>15</v>
      </c>
      <c r="F9" s="23" t="s">
        <v>33</v>
      </c>
      <c r="G9" s="40"/>
      <c r="M9" t="s">
        <v>15</v>
      </c>
      <c r="N9">
        <v>2</v>
      </c>
      <c r="O9">
        <v>5</v>
      </c>
    </row>
    <row r="10" spans="1:15" x14ac:dyDescent="0.25">
      <c r="A10" s="62">
        <f>IF(ISBLANK(B10),"",_xlfn.ISOWEEKNUM('Journal de travail'!$B10))</f>
        <v>35</v>
      </c>
      <c r="B10" s="30">
        <v>46258</v>
      </c>
      <c r="C10" s="31"/>
      <c r="D10" s="32">
        <v>10</v>
      </c>
      <c r="E10" s="33" t="s">
        <v>17</v>
      </c>
      <c r="F10" s="23" t="s">
        <v>36</v>
      </c>
      <c r="G10" s="39"/>
      <c r="M10" t="s">
        <v>16</v>
      </c>
      <c r="N10">
        <v>3</v>
      </c>
      <c r="O10">
        <v>10</v>
      </c>
    </row>
    <row r="11" spans="1:15" x14ac:dyDescent="0.25">
      <c r="A11" s="63">
        <f>IF(ISBLANK(B11),"",_xlfn.ISOWEEKNUM('Journal de travail'!$B11))</f>
        <v>35</v>
      </c>
      <c r="B11" s="34">
        <v>46258</v>
      </c>
      <c r="C11" s="35"/>
      <c r="D11" s="36">
        <v>15</v>
      </c>
      <c r="E11" s="37" t="s">
        <v>15</v>
      </c>
      <c r="F11" s="23" t="s">
        <v>34</v>
      </c>
      <c r="G11" s="40"/>
      <c r="I11" t="str" cm="1">
        <f t="array" ref="I11">_xlfn.LET(
  _xlpm.tot, SUM((B$7:B$100=B7) * (IFERROR(SUBSTITUTE(C$7:C$100," h","")*60, 0) + IFERROR(SUBSTITUTE(D$7:D$100," min","")*1, 0))),
  INT(_xlpm.tot/60) &amp; " h " &amp; TEXT(MOD(_xlpm.tot, 60), "00") &amp; " min"
)</f>
        <v>2 h 55 min</v>
      </c>
      <c r="M11" t="s">
        <v>17</v>
      </c>
      <c r="N11">
        <v>4</v>
      </c>
      <c r="O11">
        <v>15</v>
      </c>
    </row>
    <row r="12" spans="1:15" x14ac:dyDescent="0.25">
      <c r="A12" s="62">
        <f>IF(ISBLANK(B12),"",_xlfn.ISOWEEKNUM('Journal de travail'!$B12))</f>
        <v>36</v>
      </c>
      <c r="B12" s="30">
        <v>46265</v>
      </c>
      <c r="C12" s="31"/>
      <c r="D12" s="32">
        <v>20</v>
      </c>
      <c r="E12" s="33" t="s">
        <v>14</v>
      </c>
      <c r="F12" s="23" t="s">
        <v>50</v>
      </c>
      <c r="G12" s="39"/>
      <c r="M12" t="s">
        <v>18</v>
      </c>
      <c r="N12">
        <v>5</v>
      </c>
      <c r="O12">
        <v>20</v>
      </c>
    </row>
    <row r="13" spans="1:15" x14ac:dyDescent="0.25">
      <c r="A13" s="63">
        <f>IF(ISBLANK(B13),"",_xlfn.ISOWEEKNUM('Journal de travail'!$B13))</f>
        <v>36</v>
      </c>
      <c r="B13" s="34">
        <v>46265</v>
      </c>
      <c r="C13" s="35"/>
      <c r="D13" s="36">
        <v>10</v>
      </c>
      <c r="E13" s="37" t="s">
        <v>14</v>
      </c>
      <c r="F13" s="23" t="s">
        <v>41</v>
      </c>
      <c r="G13" s="40"/>
      <c r="N13">
        <v>6</v>
      </c>
      <c r="O13">
        <v>25</v>
      </c>
    </row>
    <row r="14" spans="1:15" x14ac:dyDescent="0.25">
      <c r="A14" s="62">
        <f>IF(ISBLANK(B14),"",_xlfn.ISOWEEKNUM('Journal de travail'!$B14))</f>
        <v>36</v>
      </c>
      <c r="B14" s="30">
        <v>46265</v>
      </c>
      <c r="C14" s="31"/>
      <c r="D14" s="32">
        <v>25</v>
      </c>
      <c r="E14" s="33" t="s">
        <v>15</v>
      </c>
      <c r="F14" s="23" t="s">
        <v>35</v>
      </c>
      <c r="G14" s="39"/>
      <c r="N14">
        <v>7</v>
      </c>
      <c r="O14">
        <v>30</v>
      </c>
    </row>
    <row r="15" spans="1:15" x14ac:dyDescent="0.25">
      <c r="A15" s="63">
        <f>IF(ISBLANK(B15),"",_xlfn.ISOWEEKNUM('Journal de travail'!$B15))</f>
        <v>36</v>
      </c>
      <c r="B15" s="34">
        <v>46265</v>
      </c>
      <c r="C15" s="35"/>
      <c r="D15" s="36">
        <v>40</v>
      </c>
      <c r="E15" s="37" t="s">
        <v>15</v>
      </c>
      <c r="F15" s="23" t="s">
        <v>37</v>
      </c>
      <c r="G15" s="40"/>
      <c r="N15">
        <v>8</v>
      </c>
      <c r="O15">
        <v>35</v>
      </c>
    </row>
    <row r="16" spans="1:15" x14ac:dyDescent="0.25">
      <c r="A16" s="62">
        <f>IF(ISBLANK(B16),"",_xlfn.ISOWEEKNUM('Journal de travail'!$B16))</f>
        <v>36</v>
      </c>
      <c r="B16" s="30">
        <v>46265</v>
      </c>
      <c r="C16" s="31"/>
      <c r="D16" s="32">
        <v>40</v>
      </c>
      <c r="E16" s="33" t="s">
        <v>15</v>
      </c>
      <c r="F16" s="23" t="s">
        <v>34</v>
      </c>
      <c r="G16" s="39" t="s">
        <v>38</v>
      </c>
      <c r="O16">
        <v>40</v>
      </c>
    </row>
    <row r="17" spans="1:15" ht="31.5" x14ac:dyDescent="0.25">
      <c r="A17" s="63">
        <f>IF(ISBLANK(B17),"",_xlfn.ISOWEEKNUM('Journal de travail'!$B17))</f>
        <v>36</v>
      </c>
      <c r="B17" s="34">
        <v>46265</v>
      </c>
      <c r="C17" s="35"/>
      <c r="D17" s="36">
        <v>45</v>
      </c>
      <c r="E17" s="37" t="s">
        <v>17</v>
      </c>
      <c r="F17" s="23" t="s">
        <v>39</v>
      </c>
      <c r="G17" s="40" t="s">
        <v>40</v>
      </c>
      <c r="O17">
        <v>45</v>
      </c>
    </row>
    <row r="18" spans="1:15" x14ac:dyDescent="0.25">
      <c r="A18" s="62">
        <f>IF(ISBLANK(B18),"",_xlfn.ISOWEEKNUM('Journal de travail'!$B18))</f>
        <v>37</v>
      </c>
      <c r="B18" s="30">
        <v>46272</v>
      </c>
      <c r="C18" s="31"/>
      <c r="D18" s="32">
        <v>10</v>
      </c>
      <c r="E18" s="33" t="s">
        <v>14</v>
      </c>
      <c r="F18" s="23" t="s">
        <v>47</v>
      </c>
      <c r="G18" s="39"/>
      <c r="O18">
        <v>50</v>
      </c>
    </row>
    <row r="19" spans="1:15" ht="31.5" x14ac:dyDescent="0.25">
      <c r="A19" s="63">
        <f>IF(ISBLANK(B19),"",_xlfn.ISOWEEKNUM('Journal de travail'!$B19))</f>
        <v>37</v>
      </c>
      <c r="B19" s="34">
        <v>46272</v>
      </c>
      <c r="C19" s="35"/>
      <c r="D19" s="36">
        <v>10</v>
      </c>
      <c r="E19" s="37" t="s">
        <v>14</v>
      </c>
      <c r="F19" s="23" t="s">
        <v>41</v>
      </c>
      <c r="G19" s="40" t="s">
        <v>42</v>
      </c>
      <c r="O19">
        <v>55</v>
      </c>
    </row>
    <row r="20" spans="1:15" x14ac:dyDescent="0.25">
      <c r="A20" s="62">
        <f>IF(ISBLANK(B20),"",_xlfn.ISOWEEKNUM('Journal de travail'!$B20))</f>
        <v>37</v>
      </c>
      <c r="B20" s="30">
        <v>46272</v>
      </c>
      <c r="C20" s="31"/>
      <c r="D20" s="32">
        <v>10</v>
      </c>
      <c r="E20" s="33" t="s">
        <v>15</v>
      </c>
      <c r="F20" s="23" t="s">
        <v>43</v>
      </c>
      <c r="G20" s="39"/>
    </row>
    <row r="21" spans="1:15" x14ac:dyDescent="0.25">
      <c r="A21" s="63">
        <f>IF(ISBLANK(B21),"",_xlfn.ISOWEEKNUM('Journal de travail'!$B21))</f>
        <v>37</v>
      </c>
      <c r="B21" s="34">
        <v>46272</v>
      </c>
      <c r="C21" s="35"/>
      <c r="D21" s="36">
        <v>20</v>
      </c>
      <c r="E21" s="37" t="s">
        <v>15</v>
      </c>
      <c r="F21" s="23" t="s">
        <v>44</v>
      </c>
      <c r="G21" s="40"/>
    </row>
    <row r="22" spans="1:15" ht="31.5" x14ac:dyDescent="0.25">
      <c r="A22" s="62">
        <f>IF(ISBLANK(B22),"",_xlfn.ISOWEEKNUM('Journal de travail'!$B22))</f>
        <v>37</v>
      </c>
      <c r="B22" s="30">
        <v>46272</v>
      </c>
      <c r="C22" s="31">
        <v>1</v>
      </c>
      <c r="D22" s="32"/>
      <c r="E22" s="33" t="s">
        <v>15</v>
      </c>
      <c r="F22" s="23" t="s">
        <v>45</v>
      </c>
      <c r="G22" s="39" t="s">
        <v>46</v>
      </c>
    </row>
    <row r="23" spans="1:15" x14ac:dyDescent="0.25">
      <c r="A23" s="63">
        <f>IF(ISBLANK(B23),"",_xlfn.ISOWEEKNUM('Journal de travail'!$B23))</f>
        <v>37</v>
      </c>
      <c r="B23" s="34">
        <v>46272</v>
      </c>
      <c r="C23" s="35"/>
      <c r="D23" s="36">
        <v>30</v>
      </c>
      <c r="E23" s="37" t="s">
        <v>15</v>
      </c>
      <c r="F23" s="23" t="s">
        <v>51</v>
      </c>
      <c r="G23" s="40"/>
    </row>
    <row r="24" spans="1:15" x14ac:dyDescent="0.25">
      <c r="A24" s="62">
        <f>IF(ISBLANK(B24),"",_xlfn.ISOWEEKNUM('Journal de travail'!$B24))</f>
        <v>37</v>
      </c>
      <c r="B24" s="30">
        <v>46272</v>
      </c>
      <c r="C24" s="31"/>
      <c r="D24" s="32">
        <v>10</v>
      </c>
      <c r="E24" s="33" t="s">
        <v>14</v>
      </c>
      <c r="F24" s="23" t="s">
        <v>52</v>
      </c>
      <c r="G24" s="39"/>
    </row>
    <row r="25" spans="1:15" x14ac:dyDescent="0.25">
      <c r="A25" s="63">
        <f>IF(ISBLANK(B25),"",_xlfn.ISOWEEKNUM('Journal de travail'!$B25))</f>
        <v>37</v>
      </c>
      <c r="B25" s="34">
        <v>46272</v>
      </c>
      <c r="C25" s="35"/>
      <c r="D25" s="36">
        <v>5</v>
      </c>
      <c r="E25" s="37" t="s">
        <v>17</v>
      </c>
      <c r="F25" s="23" t="s">
        <v>53</v>
      </c>
      <c r="G25" s="40"/>
    </row>
    <row r="26" spans="1:15" x14ac:dyDescent="0.25">
      <c r="A26" s="62">
        <f>IF(ISBLANK(B26),"",_xlfn.ISOWEEKNUM('Journal de travail'!$B26))</f>
        <v>37</v>
      </c>
      <c r="B26" s="30">
        <v>46272</v>
      </c>
      <c r="C26" s="31"/>
      <c r="D26" s="32">
        <v>10</v>
      </c>
      <c r="E26" s="33" t="s">
        <v>17</v>
      </c>
      <c r="F26" s="23" t="s">
        <v>54</v>
      </c>
      <c r="G26" s="39"/>
    </row>
    <row r="27" spans="1:15" x14ac:dyDescent="0.25">
      <c r="A27" s="63">
        <f>IF(ISBLANK(B27),"",_xlfn.ISOWEEKNUM('Journal de travail'!$B27))</f>
        <v>37</v>
      </c>
      <c r="B27" s="34">
        <v>46272</v>
      </c>
      <c r="C27" s="35"/>
      <c r="D27" s="36">
        <v>10</v>
      </c>
      <c r="E27" s="37" t="s">
        <v>15</v>
      </c>
      <c r="F27" s="23" t="s">
        <v>55</v>
      </c>
      <c r="G27" s="40"/>
    </row>
    <row r="28" spans="1:15" x14ac:dyDescent="0.25">
      <c r="A28" s="62">
        <f>IF(ISBLANK(B28),"",_xlfn.ISOWEEKNUM('Journal de travail'!$B28))</f>
        <v>38</v>
      </c>
      <c r="B28" s="30">
        <v>46279</v>
      </c>
      <c r="C28" s="31"/>
      <c r="D28" s="32">
        <v>10</v>
      </c>
      <c r="E28" s="33" t="s">
        <v>14</v>
      </c>
      <c r="F28" s="22" t="s">
        <v>56</v>
      </c>
      <c r="G28" s="39"/>
    </row>
    <row r="29" spans="1:15" x14ac:dyDescent="0.25">
      <c r="A29" s="63">
        <f>IF(ISBLANK(B29),"",_xlfn.ISOWEEKNUM('Journal de travail'!$B29))</f>
        <v>38</v>
      </c>
      <c r="B29" s="34">
        <v>46279</v>
      </c>
      <c r="C29" s="35"/>
      <c r="D29" s="36">
        <v>5</v>
      </c>
      <c r="E29" s="37" t="s">
        <v>14</v>
      </c>
      <c r="F29" s="22" t="s">
        <v>41</v>
      </c>
      <c r="G29" s="40"/>
    </row>
    <row r="30" spans="1:15" ht="31.5" x14ac:dyDescent="0.25">
      <c r="A30" s="62">
        <f>IF(ISBLANK(B30),"",_xlfn.ISOWEEKNUM('Journal de travail'!$B30))</f>
        <v>38</v>
      </c>
      <c r="B30" s="30">
        <v>46279</v>
      </c>
      <c r="C30" s="31">
        <v>1</v>
      </c>
      <c r="D30" s="32">
        <v>50</v>
      </c>
      <c r="E30" s="33" t="s">
        <v>15</v>
      </c>
      <c r="F30" s="23" t="s">
        <v>57</v>
      </c>
      <c r="G30" s="39" t="s">
        <v>58</v>
      </c>
    </row>
    <row r="31" spans="1:15" ht="31.5" x14ac:dyDescent="0.25">
      <c r="A31" s="63">
        <f>IF(ISBLANK(B31),"",_xlfn.ISOWEEKNUM('Journal de travail'!$B31))</f>
        <v>38</v>
      </c>
      <c r="B31" s="34">
        <v>46279</v>
      </c>
      <c r="C31" s="35"/>
      <c r="D31" s="36">
        <v>30</v>
      </c>
      <c r="E31" s="37" t="s">
        <v>14</v>
      </c>
      <c r="F31" s="22" t="s">
        <v>59</v>
      </c>
      <c r="G31" s="40" t="s">
        <v>60</v>
      </c>
    </row>
    <row r="32" spans="1:15" ht="31.5" x14ac:dyDescent="0.25">
      <c r="A32" s="62">
        <f>IF(ISBLANK(B32),"",_xlfn.ISOWEEKNUM('Journal de travail'!$B32))</f>
        <v>38</v>
      </c>
      <c r="B32" s="30">
        <v>46279</v>
      </c>
      <c r="C32" s="31"/>
      <c r="D32" s="32">
        <v>10</v>
      </c>
      <c r="E32" s="33" t="s">
        <v>15</v>
      </c>
      <c r="F32" s="23" t="s">
        <v>61</v>
      </c>
      <c r="G32" s="39" t="s">
        <v>62</v>
      </c>
    </row>
    <row r="33" spans="1:7" x14ac:dyDescent="0.25">
      <c r="A33" s="63">
        <f>IF(ISBLANK(B33),"",_xlfn.ISOWEEKNUM('Journal de travail'!$B33))</f>
        <v>38</v>
      </c>
      <c r="B33" s="34">
        <v>46279</v>
      </c>
      <c r="C33" s="35"/>
      <c r="D33" s="36">
        <v>15</v>
      </c>
      <c r="E33" s="37" t="s">
        <v>17</v>
      </c>
      <c r="F33" s="22" t="s">
        <v>63</v>
      </c>
      <c r="G33" s="40"/>
    </row>
    <row r="34" spans="1:7" x14ac:dyDescent="0.25">
      <c r="A34" s="62">
        <f>IF(ISBLANK(B34),"",_xlfn.ISOWEEKNUM('Journal de travail'!$B34))</f>
        <v>40</v>
      </c>
      <c r="B34" s="30">
        <v>46293</v>
      </c>
      <c r="C34" s="31"/>
      <c r="D34" s="32">
        <v>5</v>
      </c>
      <c r="E34" s="33" t="s">
        <v>14</v>
      </c>
      <c r="F34" s="22" t="s">
        <v>64</v>
      </c>
      <c r="G34" s="39"/>
    </row>
    <row r="35" spans="1:7" ht="31.5" x14ac:dyDescent="0.25">
      <c r="A35" s="63">
        <f>IF(ISBLANK(B35),"",_xlfn.ISOWEEKNUM('Journal de travail'!$B35))</f>
        <v>40</v>
      </c>
      <c r="B35" s="30">
        <v>46293</v>
      </c>
      <c r="C35" s="35"/>
      <c r="D35" s="36">
        <v>10</v>
      </c>
      <c r="E35" s="37" t="s">
        <v>14</v>
      </c>
      <c r="F35" s="23" t="s">
        <v>41</v>
      </c>
      <c r="G35" s="40" t="s">
        <v>65</v>
      </c>
    </row>
    <row r="36" spans="1:7" ht="31.5" x14ac:dyDescent="0.25">
      <c r="A36" s="62">
        <f>IF(ISBLANK(B36),"",_xlfn.ISOWEEKNUM('Journal de travail'!$B36))</f>
        <v>40</v>
      </c>
      <c r="B36" s="30">
        <v>46293</v>
      </c>
      <c r="C36" s="31">
        <v>1</v>
      </c>
      <c r="D36" s="32">
        <v>15</v>
      </c>
      <c r="E36" s="33" t="s">
        <v>15</v>
      </c>
      <c r="F36" s="22" t="s">
        <v>66</v>
      </c>
      <c r="G36" s="39" t="s">
        <v>67</v>
      </c>
    </row>
    <row r="37" spans="1:7" ht="78.75" x14ac:dyDescent="0.25">
      <c r="A37" s="63">
        <f>IF(ISBLANK(B37),"",_xlfn.ISOWEEKNUM('Journal de travail'!$B37))</f>
        <v>40</v>
      </c>
      <c r="B37" s="34">
        <v>46293</v>
      </c>
      <c r="C37" s="35"/>
      <c r="D37" s="36">
        <v>15</v>
      </c>
      <c r="E37" s="37" t="s">
        <v>14</v>
      </c>
      <c r="F37" s="22" t="s">
        <v>68</v>
      </c>
      <c r="G37" s="40" t="s">
        <v>69</v>
      </c>
    </row>
    <row r="38" spans="1:7" x14ac:dyDescent="0.25">
      <c r="A38" s="62">
        <f>IF(ISBLANK(B38),"",_xlfn.ISOWEEKNUM('Journal de travail'!$B38))</f>
        <v>40</v>
      </c>
      <c r="B38" s="30">
        <v>46293</v>
      </c>
      <c r="C38" s="31"/>
      <c r="D38" s="32">
        <v>10</v>
      </c>
      <c r="E38" s="33" t="s">
        <v>15</v>
      </c>
      <c r="F38" s="22" t="s">
        <v>70</v>
      </c>
      <c r="G38" s="39"/>
    </row>
    <row r="39" spans="1:7" x14ac:dyDescent="0.25">
      <c r="A39" s="63">
        <f>IF(ISBLANK(B39),"",_xlfn.ISOWEEKNUM('Journal de travail'!$B39))</f>
        <v>40</v>
      </c>
      <c r="B39" s="34">
        <v>46293</v>
      </c>
      <c r="C39" s="35">
        <v>1</v>
      </c>
      <c r="D39" s="36">
        <v>5</v>
      </c>
      <c r="E39" s="37" t="s">
        <v>15</v>
      </c>
      <c r="F39" s="22" t="s">
        <v>71</v>
      </c>
      <c r="G39" s="40" t="s">
        <v>72</v>
      </c>
    </row>
    <row r="40" spans="1:7" x14ac:dyDescent="0.25">
      <c r="A40" s="62">
        <f>IF(ISBLANK(B40),"",_xlfn.ISOWEEKNUM('Journal de travail'!$B40))</f>
        <v>40</v>
      </c>
      <c r="B40" s="30">
        <v>46293</v>
      </c>
      <c r="C40" s="31"/>
      <c r="D40" s="32">
        <v>5</v>
      </c>
      <c r="E40" s="33" t="s">
        <v>17</v>
      </c>
      <c r="F40" s="22" t="s">
        <v>73</v>
      </c>
      <c r="G40" s="39"/>
    </row>
    <row r="41" spans="1:7" ht="47.25" x14ac:dyDescent="0.25">
      <c r="A41" s="63">
        <f>IF(ISBLANK(B41),"",_xlfn.ISOWEEKNUM('Journal de travail'!$B41))</f>
        <v>41</v>
      </c>
      <c r="B41" s="34">
        <v>46300</v>
      </c>
      <c r="C41" s="35"/>
      <c r="D41" s="36">
        <v>5</v>
      </c>
      <c r="E41" s="37" t="s">
        <v>14</v>
      </c>
      <c r="F41" s="22" t="s">
        <v>74</v>
      </c>
      <c r="G41" s="40" t="s">
        <v>75</v>
      </c>
    </row>
    <row r="42" spans="1:7" ht="47.25" x14ac:dyDescent="0.25">
      <c r="A42" s="62">
        <f>IF(ISBLANK(B42),"",_xlfn.ISOWEEKNUM('Journal de travail'!$B42))</f>
        <v>41</v>
      </c>
      <c r="B42" s="30">
        <v>46300</v>
      </c>
      <c r="C42" s="31"/>
      <c r="D42" s="32">
        <v>10</v>
      </c>
      <c r="E42" s="33" t="s">
        <v>15</v>
      </c>
      <c r="F42" s="22" t="s">
        <v>41</v>
      </c>
      <c r="G42" s="39" t="s">
        <v>77</v>
      </c>
    </row>
    <row r="43" spans="1:7" x14ac:dyDescent="0.25">
      <c r="A43" s="63">
        <f>IF(ISBLANK(B43),"",_xlfn.ISOWEEKNUM('Journal de travail'!$B43))</f>
        <v>41</v>
      </c>
      <c r="B43" s="34">
        <v>46300</v>
      </c>
      <c r="C43" s="35"/>
      <c r="D43" s="36">
        <v>15</v>
      </c>
      <c r="E43" s="37" t="s">
        <v>15</v>
      </c>
      <c r="F43" s="22" t="s">
        <v>76</v>
      </c>
      <c r="G43" s="40"/>
    </row>
    <row r="44" spans="1:7" ht="31.5" x14ac:dyDescent="0.25">
      <c r="A44" s="62">
        <f>IF(ISBLANK(B44),"",_xlfn.ISOWEEKNUM('Journal de travail'!$B44))</f>
        <v>41</v>
      </c>
      <c r="B44" s="30">
        <v>46300</v>
      </c>
      <c r="C44" s="31">
        <v>1</v>
      </c>
      <c r="D44" s="32">
        <v>10</v>
      </c>
      <c r="E44" s="33" t="s">
        <v>15</v>
      </c>
      <c r="F44" s="23" t="s">
        <v>78</v>
      </c>
      <c r="G44" s="39" t="s">
        <v>79</v>
      </c>
    </row>
    <row r="45" spans="1:7" x14ac:dyDescent="0.25">
      <c r="A45" s="63">
        <f>IF(ISBLANK(B45),"",_xlfn.ISOWEEKNUM('Journal de travail'!$B45))</f>
        <v>41</v>
      </c>
      <c r="B45" s="34">
        <v>46300</v>
      </c>
      <c r="C45" s="35"/>
      <c r="D45" s="36">
        <v>30</v>
      </c>
      <c r="E45" s="37" t="s">
        <v>15</v>
      </c>
      <c r="F45" s="22" t="s">
        <v>80</v>
      </c>
      <c r="G45" s="40"/>
    </row>
    <row r="46" spans="1:7" x14ac:dyDescent="0.25">
      <c r="A46" s="62">
        <f>IF(ISBLANK(B46),"",_xlfn.ISOWEEKNUM('Journal de travail'!$B46))</f>
        <v>41</v>
      </c>
      <c r="B46" s="30">
        <v>46300</v>
      </c>
      <c r="C46" s="31"/>
      <c r="D46" s="32">
        <v>25</v>
      </c>
      <c r="E46" s="33" t="s">
        <v>15</v>
      </c>
      <c r="F46" s="22" t="s">
        <v>81</v>
      </c>
      <c r="G46" s="39"/>
    </row>
    <row r="47" spans="1:7" x14ac:dyDescent="0.25">
      <c r="A47" s="63">
        <f>IF(ISBLANK(B47),"",_xlfn.ISOWEEKNUM('Journal de travail'!$B47))</f>
        <v>41</v>
      </c>
      <c r="B47" s="34">
        <v>46300</v>
      </c>
      <c r="C47" s="35"/>
      <c r="D47" s="36">
        <v>20</v>
      </c>
      <c r="E47" s="37" t="s">
        <v>15</v>
      </c>
      <c r="F47" s="22" t="s">
        <v>82</v>
      </c>
      <c r="G47" s="40" t="s">
        <v>83</v>
      </c>
    </row>
    <row r="48" spans="1:7" x14ac:dyDescent="0.25">
      <c r="A48" s="62">
        <f>IF(ISBLANK(B48),"",_xlfn.ISOWEEKNUM('Journal de travail'!$B48))</f>
        <v>41</v>
      </c>
      <c r="B48" s="30">
        <v>46300</v>
      </c>
      <c r="C48" s="31"/>
      <c r="D48" s="32">
        <v>10</v>
      </c>
      <c r="E48" s="33" t="s">
        <v>17</v>
      </c>
      <c r="F48" s="22" t="s">
        <v>84</v>
      </c>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scale="52"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N6" sqref="N6"/>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90</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170</v>
      </c>
      <c r="C6">
        <f t="shared" ref="C6:C10" si="0">SUM(A6:B6)</f>
        <v>230</v>
      </c>
      <c r="E6" s="70" t="str">
        <f>'Journal de travail'!M8</f>
        <v>Analyse</v>
      </c>
      <c r="F6" s="71" t="str">
        <f>QUOTIENT(SUM(A6:B6),60)&amp;" h "&amp;TEXT(MOD(SUM(A6:B6),60), "00")&amp;" min"</f>
        <v>3 h 50 min</v>
      </c>
      <c r="G6" s="72">
        <f>SUM(A6:B6)/$C$11</f>
        <v>0.21296296296296297</v>
      </c>
      <c r="L6" s="51" t="str">
        <f>'Journal de travail'!M8</f>
        <v>Analyse</v>
      </c>
      <c r="M6" s="52" t="str">
        <f>INT($F$2*N6)&amp;" h "&amp;TEXT(ROUND(MOD($F$2*N6,1)*60,0),"00")&amp;" m"</f>
        <v>18 h 00 m</v>
      </c>
      <c r="N6" s="58">
        <v>0.2</v>
      </c>
    </row>
    <row r="7" spans="1:14" x14ac:dyDescent="0.3">
      <c r="A7">
        <f>SUMIF('Journal de travail'!$E$7:$E$532,Plannification!E7,'Journal de travail'!$C$7:$C$532)*60</f>
        <v>300</v>
      </c>
      <c r="B7">
        <f>SUMIF('Journal de travail'!$E$7:$E$532,Plannification!E7,'Journal de travail'!$D$7:$D$532)</f>
        <v>450</v>
      </c>
      <c r="C7">
        <f t="shared" si="0"/>
        <v>750</v>
      </c>
      <c r="E7" s="73" t="str">
        <f>'Journal de travail'!M9</f>
        <v>Implémentation</v>
      </c>
      <c r="F7" s="74" t="str">
        <f t="shared" ref="F7:F11" si="1">QUOTIENT(SUM(A7:B7),60)&amp;" h "&amp;TEXT(MOD(SUM(A7:B7),60), "00")&amp;" min"</f>
        <v>12 h 30 min</v>
      </c>
      <c r="G7" s="75">
        <f t="shared" ref="G7:G9" si="2">SUM(A7:B7)/$C$11</f>
        <v>0.69444444444444442</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0</v>
      </c>
      <c r="B9">
        <f>SUMIF('Journal de travail'!$E$7:$E$532,Plannification!E9,'Journal de travail'!$D$7:$D$532)</f>
        <v>100</v>
      </c>
      <c r="C9">
        <f t="shared" si="0"/>
        <v>100</v>
      </c>
      <c r="E9" s="77" t="str">
        <f>'Journal de travail'!M11</f>
        <v>Documentation</v>
      </c>
      <c r="F9" s="74" t="str">
        <f t="shared" si="1"/>
        <v>1 h 40 min</v>
      </c>
      <c r="G9" s="75">
        <f t="shared" si="2"/>
        <v>9.2592592592592587E-2</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720</v>
      </c>
      <c r="C11">
        <f>SUM(A11:B11)</f>
        <v>1080</v>
      </c>
      <c r="E11" s="81" t="s">
        <v>29</v>
      </c>
      <c r="F11" s="71" t="str">
        <f t="shared" si="1"/>
        <v>18 h 00 min</v>
      </c>
      <c r="G11" s="82">
        <f>C11/C12</f>
        <v>0.2</v>
      </c>
      <c r="L11" s="56" t="s">
        <v>29</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0"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Kiril Bormin</cp:lastModifiedBy>
  <cp:revision/>
  <cp:lastPrinted>2026-08-31T09:21:59Z</cp:lastPrinted>
  <dcterms:created xsi:type="dcterms:W3CDTF">2023-11-21T20:00:34Z</dcterms:created>
  <dcterms:modified xsi:type="dcterms:W3CDTF">2026-10-05T09:25:38Z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