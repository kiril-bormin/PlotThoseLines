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FF524128-86C3-4E1F-AA1D-9BE32814B409}" xr6:coauthVersionLast="47" xr6:coauthVersionMax="47" xr10:uidLastSave="{00000000-0000-0000-0000-000000000000}"/>
  <bookViews>
    <workbookView xWindow="2790" yWindow="4095" windowWidth="21600" windowHeight="112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<sst xmlns="http://schemas.openxmlformats.org/spreadsheetml/2006/main" count="56" uniqueCount="41">
  <si>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</si>
  <si>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</si>
  <si>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</si>
  <si>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</si>
  <si>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</si>
  <si>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</si>
  <si>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</si>
  <si>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</si>
  <si>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</si>
  <si>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</si>
  <si>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</si>
  <si>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</si>
  <si>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</si>
  <si>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</si>
  <si>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</si>
  <si>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</si>
  <si>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</si>
  <si>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</si>
  <si>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</si>
  <si>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</si>
  <si>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</si>
  <si>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</si>
  <si>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</si>
  <si>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</si>
  <si>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</si>
  <si>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</si>
  <si>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</si>
  <si>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</si>
  <si>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</si>
  <si>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</si>
  <si>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</si>
  <si>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</si>
  <si>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</si>
  <si>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</si>
  <si>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Amélioration des US</t>
  </si>
  <si>
    <t>Création de la planificaiton simple</t>
  </si>
  <si>
    <t>Utiliser un modèle de rapport</t>
  </si>
  <si>
    <t>Création de la maquette</t>
  </si>
  <si>
    <t>Ajout de tests d'acceptence à chaque fois, image de la maquette, US atomiques</t>
  </si>
  <si>
    <t>Remplissage du rapport</t>
  </si>
  <si>
    <t>J'ai ajouté les sections description, objectifs, analyse fonctionnelle et planificaiton simple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</si>
</sst>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145</c:v>
                </c:pt>
                <c:pt idx="1">
                  <c:v>20</c:v>
                </c:pt>
                <c:pt idx="2">
                  <c:v>0</c:v>
                </c:pt>
                <c:pt idx="3">
                  <c:v>55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0.65909090909090906</c:v>
                </c:pt>
                <c:pt idx="1">
                  <c:v>9.0909090909090912E-2</c:v>
                </c:pt>
                <c:pt idx="2">
                  <c:v>0</c:v>
                </c:pt>
                <c:pt idx="3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view="pageBreakPreview" topLeftCell="C1" zoomScale="60" zoomScaleNormal="100" workbookViewId="0">
      <pane ySplit="6" topLeftCell="A7" activePane="bottomLeft" state="frozen"/>
      <selection pane="bottomLeft" activeCell="F19" sqref="F1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3 heures 40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220</v>
      </c>
      <c r="E4" s="24">
        <f>SUM(C4:D4)</f>
        <v>220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40</v>
      </c>
      <c r="E8" s="33" t="s">
        <v>14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10</v>
      </c>
      <c r="E9" s="37" t="s">
        <v>17</v>
      </c>
      <c r="F9" s="23" t="s">
        <v>36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15</v>
      </c>
      <c r="E10" s="33" t="s">
        <v>14</v>
      </c>
      <c r="F10" s="23" t="s">
        <v>34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46265</v>
      </c>
      <c r="C11" s="35"/>
      <c r="D11" s="36">
        <v>20</v>
      </c>
      <c r="E11" s="37" t="s">
        <v>14</v>
      </c>
      <c r="F11" s="23" t="s">
        <v>35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46265</v>
      </c>
      <c r="C12" s="31"/>
      <c r="D12" s="32">
        <v>30</v>
      </c>
      <c r="E12" s="33" t="s">
        <v>14</v>
      </c>
      <c r="F12" s="23" t="s">
        <v>37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46265</v>
      </c>
      <c r="C13" s="35"/>
      <c r="D13" s="36">
        <v>40</v>
      </c>
      <c r="E13" s="37" t="s">
        <v>14</v>
      </c>
      <c r="F13" s="23" t="s">
        <v>34</v>
      </c>
      <c r="G13" s="40" t="s">
        <v>38</v>
      </c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46265</v>
      </c>
      <c r="C14" s="31"/>
      <c r="D14" s="32">
        <v>45</v>
      </c>
      <c r="E14" s="33" t="s">
        <v>17</v>
      </c>
      <c r="F14" s="23" t="s">
        <v>39</v>
      </c>
      <c r="G14" s="39" t="s">
        <v>40</v>
      </c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scale="52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145</v>
      </c>
      <c r="C6">
        <f t="shared" ref="C6:C10" si="0">SUM(A6:B6)</f>
        <v>145</v>
      </c>
      <c r="E6" s="70" t="str">
        <f>'Journal de travail'!M8</f>
        <v>Analyse</v>
      </c>
      <c r="F6" s="71" t="str">
        <f>QUOTIENT(SUM(A6:B6),60)&amp;" h "&amp;TEXT(MOD(SUM(A6:B6),60), "00")&amp;" min"</f>
        <v>2 h 25 min</v>
      </c>
      <c r="G6" s="72">
        <f>SUM(A6:B6)/$C$11</f>
        <v>0.65909090909090906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20</v>
      </c>
      <c r="C7">
        <f t="shared" si="0"/>
        <v>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20 min</v>
      </c>
      <c r="G7" s="75">
        <f t="shared" ref="G7:G9" si="2">SUM(A7:B7)/$C$11</f>
        <v>9.0909090909090912E-2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55</v>
      </c>
      <c r="C9">
        <f t="shared" si="0"/>
        <v>55</v>
      </c>
      <c r="E9" s="77" t="str">
        <f>'Journal de travail'!M11</f>
        <v>Documentation</v>
      </c>
      <c r="F9" s="74" t="str">
        <f t="shared" si="1"/>
        <v>0 h 55 min</v>
      </c>
      <c r="G9" s="75">
        <f t="shared" si="2"/>
        <v>0.25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220</v>
      </c>
      <c r="C11">
        <f>SUM(A11:B11)</f>
        <v>220</v>
      </c>
      <c r="E11" s="81" t="s">
        <v>29</v>
      </c>
      <c r="F11" s="71" t="str">
        <f t="shared" si="1"/>
        <v>3 h 40 min</v>
      </c>
      <c r="G11" s="82">
        <f>C11/C12</f>
        <v>4.0740740740740744E-2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purl.org/dc/dcmitype/"/>
    <ds:schemaRef ds:uri="http://purl.org/dc/terms/"/>
    <ds:schemaRef ds:uri="f20a0681-8b2f-4a46-9dab-cf1520193f81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932fafb7-d8e0-4a14-bee3-33aad5c71309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cp:lastPrinted>2026-08-31T09:21:59Z</cp:lastPrinted>
  <dcterms:created xsi:type="dcterms:W3CDTF">2023-11-21T20:00:34Z</dcterms:created>
  <dcterms:modified xsi:type="dcterms:W3CDTF">2026-08-31T09:25:22Z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