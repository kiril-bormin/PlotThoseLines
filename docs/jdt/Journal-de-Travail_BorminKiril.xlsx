
<file path=[Content_Types].xml><?xml version="1.0" encoding="utf-8"?>
<Types xmlns="http://schemas.openxmlformats.org/package/2006/content-types">
  <Default Extension="rels" ContentType="application/vnd.openxmlformats-package.relationships+xml"/>
  <Default Extension="xml" ContentType="application/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xl/printerSettings/printerSettings1.bin" ContentType="application/vnd.openxmlformats-officedocument.spreadsheetml.printerSettings"/>
  <Override PartName="/xl/tables/table1.xml" ContentType="application/vnd.openxmlformats-officedocument.spreadsheetml.table+xml"/>
  <Override PartName="/xl/worksheets/sheet1.xml" ContentType="application/vnd.openxmlformats-officedocument.spreadsheetml.worksheet+xml"/>
  <Override PartName="/xl/printerSettings/printerSettings2.bin" ContentType="application/vnd.openxmlformats-officedocument.spreadsheetml.printerSettings"/>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worksheets/sheet2.xml" ContentType="application/vnd.openxmlformats-officedocument.spreadsheetml.worksheet+xml"/>
  <Override PartName="/xl/printerSettings/printerSettings3.bin" ContentType="application/vnd.openxmlformats-officedocument.spreadsheetml.printerSettings"/>
  <Override PartName="/xl/charts/chart3.xml" ContentType="application/vnd.openxmlformats-officedocument.drawingml.chart+xml"/>
  <Override PartName="/xl/drawings/drawing2.xml" ContentType="application/vnd.openxmlformats-officedocument.drawing+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7" lowestEdited="7" rupBuild="30430"/>
  <workbookPr/>
  <bookViews>
    <workbookView activeTab="0"/>
  </bookViews>
  <sheets>
    <sheet name="Journal de travail" sheetId="1" r:id="rId4"/>
    <sheet name="Plannification" sheetId="2" r:id="rId5"/>
    <sheet name="Initiale VS Effective"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<sst xmlns="http://schemas.openxmlformats.org/spreadsheetml/2006/main" count="164" uniqueCount="103">
  <si>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</si>
  <si>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</si>
  <si>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</si>
  <si>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</si>
  <si>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</si>
  <si>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</si>
  <si>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</si>
  <si>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</si>
  <si>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</si>
  <si>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</si>
  <si>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</si>
  <si>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</si>
  <si>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</si>
  <si>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</si>
  <si>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</si>
  <si>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</si>
  <si>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</si>
  <si>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</si>
  <si>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</si>
  <si>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</si>
  <si>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</si>
  <si>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</si>
  <si>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</si>
  <si>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</si>
  <si>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</si>
  <si>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</si>
  <si>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</si>
  <si>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</si>
  <si>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</si>
  <si>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</si>
  <si>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</si>
  <si>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</si>
  <si>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</si>
  <si>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</si>
  <si>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</si>
  <si>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</si>
  <si>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</si>
  <si>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</si>
  <si>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</si>
  <si>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</si>
  <si>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</si>
  <si>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</si>
  <si>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</si>
  <si>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</si>
  <si>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</si>
  <si>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</si>
  <si>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</si>
  <si>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</si>
  <si>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</si>
  <si>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</si>
  <si>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</si>
  <si>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</si>
  <si>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</si>
  <si>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</si>
  <si>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</si>
  <si>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</si>
  <si>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</si>
  <si>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</si>
  <si>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</si>
  <si>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</si>
  <si>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</si>
  <si>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</si>
  <si>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</si>
  <si>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</si>
  <si>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</si>
  <si>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</si>
  <si>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</si>
  <si>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</si>
  <si>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</si>
  <si>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</si>
  <si>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</si>
  <si>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</si>
  <si>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</si>
  <si>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</si>
  <si>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</si>
  <si>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</si>
  <si>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</si>
  <si>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</si>
  <si>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</si>
  <si>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</si>
  <si>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</si>
  <si>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</si>
  <si>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</si>
  <si>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</si>
  <si>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</si>
  <si>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Création de logo et son utilisation dans le projet</t>
  </si>
  <si>
    <t>Ajout de légendes pour chaque axe du graphique</t>
  </si>
  <si>
    <t>Analyse du feedback du chef de projet</t>
  </si>
  <si>
    <t>Je me suis un peu trop concentré sur l'intéraction et le visuel du programme, en oubliant certains point critiques, comme l'ajout des tests, utilisation de LINQ et une bonne organisation des méthodes (il faut créer des classes séparées pour chaque méthode important)</t>
  </si>
  <si>
    <t>Transformation des boucles foreach en méthodes LINQ</t>
  </si>
  <si>
    <t>Déplacement de la logique de parser des csv dans une classe séparée</t>
  </si>
  <si>
    <t>Déplacement de la logique de transformation des nombres dans une classe séparée</t>
  </si>
  <si>
    <t>Total heures TPI</t>
  </si>
  <si>
    <t>heures</t>
  </si>
  <si>
    <t>Plannification Effective</t>
  </si>
  <si>
    <t>Plannification Initiale</t>
  </si>
  <si>
    <t>Heures</t>
  </si>
  <si>
    <t>Minutes</t>
  </si>
  <si>
    <t xml:space="preserve">Total </t>
  </si>
  <si>
    <t>Type d'activité</t>
  </si>
  <si>
    <t>Total heures</t>
  </si>
  <si>
    <t>en %</t>
  </si>
  <si>
    <t>Total</t>
  </si>
</sst>
</file>

<file path=xl/styles.xml><?xml version="1.0" encoding="utf-8"?>
<styleSheet xmlns="http://schemas.openxmlformats.org/spreadsheetml/2006/main">
  <numFmts count="5">
    <numFmt numFmtId="164" formatCode="[$]dd/mm/yyyy;@"/>
    <numFmt numFmtId="165" formatCode="[$]hh:mm;@"/>
    <numFmt numFmtId="166" formatCode="dd\ mmm"/>
    <numFmt numFmtId="167" formatCode="0\ &quot;h&quot;"/>
    <numFmt numFmtId="168" formatCode="00\ &quot;min&quot;"/>
  </numFmts>
  <fonts count="12">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bgColor indexed="64"/>
      </patternFill>
    </fill>
    <fill>
      <patternFill patternType="solid">
        <fgColor theme="2" tint="-0.1"/>
        <bgColor indexed="64"/>
      </patternFill>
    </fill>
    <fill>
      <patternFill patternType="solid">
        <fgColor theme="0" tint="-0.15"/>
        <bgColor theme="0" tint="-0.15"/>
      </patternFill>
    </fill>
    <fill>
      <patternFill patternType="solid">
        <fgColor theme="0" tint="-0.15"/>
        <bgColor indexed="64"/>
      </patternFill>
    </fill>
    <fill>
      <patternFill patternType="solid">
        <fgColor theme="2" tint="-0.5"/>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0.05"/>
        <bgColor indexed="64"/>
      </patternFill>
    </fill>
    <fill>
      <patternFill patternType="solid">
        <fgColor theme="0" tint="-0.25"/>
        <bgColor theme="0" tint="-0.15"/>
      </patternFill>
    </fill>
    <fill>
      <patternFill patternType="solid">
        <fgColor theme="0" tint="-0.25"/>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5"/>
      </left>
      <right style="hair">
        <color theme="0" tint="-0.25"/>
      </right>
      <top style="hair">
        <color theme="0" tint="-0.25"/>
      </top>
      <bottom style="hair">
        <color theme="0" tint="-0.25"/>
      </bottom>
      <diagonal/>
    </border>
    <border>
      <left style="thin">
        <color theme="0" tint="-0.15"/>
      </left>
      <right style="thin">
        <color theme="0" tint="-0.15"/>
      </right>
      <top style="thin">
        <color theme="0" tint="-0.15"/>
      </top>
      <bottom style="thin">
        <color theme="0" tint="-0.15"/>
      </bottom>
      <diagonal/>
    </border>
  </borders>
  <cellStyleXfs count="1">
    <xf numFmtId="0" fontId="0" fillId="0" borderId="0"/>
  </cellStyleXfs>
  <cellXfs count="85">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hidden="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hidden="0"/>
    </xf>
    <xf numFmtId="0" fontId="0" fillId="0" borderId="0" xfId="0" applyAlignment="1" applyProtection="1">
      <alignment vertical="center" wrapText="1"/>
      <protection locked="0" hidden="0"/>
    </xf>
    <xf numFmtId="20" fontId="4" fillId="2" borderId="0" xfId="0" applyNumberFormat="1" applyFont="1" applyFill="1" applyAlignment="1">
      <alignment horizontal="right"/>
    </xf>
    <xf numFmtId="166" fontId="0" fillId="3" borderId="1" xfId="0" applyNumberFormat="1" applyFill="1" applyBorder="1" applyProtection="1">
      <protection locked="0" hidden="0"/>
    </xf>
    <xf numFmtId="167" fontId="0" fillId="3" borderId="1" xfId="0" applyNumberFormat="1" applyFill="1" applyBorder="1" applyProtection="1">
      <protection locked="0" hidden="0"/>
    </xf>
    <xf numFmtId="168" fontId="0" fillId="3" borderId="1" xfId="0" applyNumberFormat="1" applyFill="1" applyBorder="1" applyAlignment="1" applyProtection="1">
      <alignment horizontal="left"/>
      <protection locked="0" hidden="0"/>
    </xf>
    <xf numFmtId="0" fontId="0" fillId="3" borderId="1" xfId="0" applyFill="1" applyBorder="1" applyProtection="1">
      <protection locked="0" hidden="0"/>
    </xf>
    <xf numFmtId="166" fontId="0" fillId="0" borderId="0" xfId="0" applyNumberFormat="1" applyProtection="1">
      <protection locked="0" hidden="0"/>
    </xf>
    <xf numFmtId="167" fontId="0" fillId="0" borderId="0" xfId="0" applyNumberFormat="1" applyProtection="1">
      <protection locked="0" hidden="0"/>
    </xf>
    <xf numFmtId="168" fontId="0" fillId="0" borderId="0" xfId="0" applyNumberFormat="1" applyAlignment="1" applyProtection="1">
      <alignment horizontal="left"/>
      <protection locked="0" hidden="0"/>
    </xf>
    <xf numFmtId="0" fontId="0" fillId="0" borderId="0" xfId="0" applyProtection="1">
      <protection locked="0" hidden="0"/>
    </xf>
    <xf numFmtId="166" fontId="0" fillId="3" borderId="0" xfId="0" applyNumberFormat="1" applyFill="1" applyProtection="1">
      <protection locked="0" hidden="0"/>
    </xf>
    <xf numFmtId="167" fontId="0" fillId="3" borderId="0" xfId="0" applyNumberFormat="1" applyFill="1" applyProtection="1">
      <protection locked="0" hidden="0"/>
    </xf>
    <xf numFmtId="168" fontId="0" fillId="3" borderId="0" xfId="0" applyNumberFormat="1" applyFill="1" applyAlignment="1" applyProtection="1">
      <alignment horizontal="left"/>
      <protection locked="0" hidden="0"/>
    </xf>
    <xf numFmtId="0" fontId="0" fillId="3" borderId="0" xfId="0" applyFill="1" applyProtection="1">
      <protection locked="0" hidden="0"/>
    </xf>
    <xf numFmtId="0" fontId="0" fillId="3" borderId="1" xfId="0" applyFill="1" applyBorder="1" applyAlignment="1" applyProtection="1">
      <alignment wrapText="1"/>
      <protection locked="0" hidden="0"/>
    </xf>
    <xf numFmtId="0" fontId="0" fillId="0" borderId="0" xfId="0" applyAlignment="1" applyProtection="1">
      <alignment wrapText="1"/>
      <protection locked="0" hidden="0"/>
    </xf>
    <xf numFmtId="0" fontId="0" fillId="3" borderId="0" xfId="0" applyFill="1" applyAlignment="1" applyProtection="1">
      <alignment wrapText="1"/>
      <protection locked="0" hidden="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hidden="0"/>
    </xf>
    <xf numFmtId="10" fontId="7" fillId="9" borderId="2" xfId="0" applyNumberFormat="1" applyFont="1" applyFill="1" applyBorder="1" applyProtection="1">
      <protection locked="0" hidden="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hidden="0"/>
    </xf>
    <xf numFmtId="164" fontId="8" fillId="0" borderId="0" xfId="0" applyNumberFormat="1" applyFont="1" applyAlignment="1" applyProtection="1">
      <alignment horizontal="left"/>
      <protection locked="0" hidden="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hidden="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16" fontId="8" fillId="0" borderId="0" xfId="0" applyNumberFormat="1" applyFont="1" applyAlignment="1" applyProtection="1">
      <alignment horizontal="left"/>
      <protection locked="0" hidden="0"/>
    </xf>
    <xf numFmtId="20" fontId="11" fillId="2" borderId="0" xfId="0" applyNumberFormat="1" applyFont="1" applyFill="1" applyAlignment="1">
      <alignment horizontal="center"/>
    </xf>
    <xf numFmtId="0" fontId="5" fillId="2" borderId="0" xfId="0" applyFont="1" applyFill="1"/>
  </cellXfs>
  <cellStyles count="1">
    <cellStyle name="Normal" xfId="0" builtinId="0"/>
  </cellStyles>
  <dxfs count="9">
    <dxf>
      <fill>
        <patternFill patternType="solid">
          <fgColor theme="2" tint="-0.25"/>
          <bgColor theme="2" tint="-0.25"/>
        </patternFill>
      </fill>
    </dxf>
    <dxf>
      <font>
        <color theme="0"/>
      </font>
      <fill>
        <patternFill patternType="solid">
          <fgColor theme="7" tint="-0.25"/>
          <bgColor theme="7" tint="-0.25"/>
        </patternFill>
      </fill>
    </dxf>
    <dxf>
      <fill>
        <patternFill patternType="solid">
          <fgColor rgb="FF92D050"/>
          <bgColor rgb="FF92D050"/>
        </patternFill>
      </fill>
    </dxf>
    <dxf>
      <fill>
        <patternFill patternType="solid">
          <fgColor rgb="FFCCCC00"/>
          <bgColor rgb="FFCCCC00"/>
        </patternFill>
      </fill>
    </dxf>
    <dxf>
      <font>
        <color theme="0"/>
      </font>
      <fill>
        <patternFill patternType="solid">
          <fgColor theme="1" tint="0.5"/>
          <bgColor theme="1" tint="0.5"/>
        </patternFill>
      </fill>
    </dxf>
    <dxf>
      <fill>
        <patternFill patternType="solid">
          <fgColor rgb="FF00B0F0"/>
          <bgColor rgb="FF00B0F0"/>
        </patternFill>
      </fill>
    </dxf>
    <dxf>
      <font>
        <color theme="0"/>
      </font>
      <fill>
        <patternFill patternType="solid">
          <fgColor rgb="FF7030A0"/>
          <bgColor rgb="FF7030A0"/>
        </patternFill>
      </fill>
    </dxf>
    <dxf>
      <fill>
        <patternFill patternType="solid">
          <fgColor theme="2" tint="-0.5"/>
          <bgColor theme="2" tint="-0.5"/>
        </patternFill>
      </fill>
    </dxf>
    <dxf>
      <font>
        <color theme="0"/>
      </font>
      <fill>
        <patternFill patternType="solid">
          <fgColor rgb="FF0070C0"/>
          <bgColor rgb="FF0070C0"/>
        </patternFill>
      </fill>
    </dxf>
  </dxfs>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customXml" Target="/customXml/item1.xml"/><Relationship Id="rId2" Type="http://schemas.openxmlformats.org/officeDocument/2006/relationships/customXml" Target="/customXml/item3.xml"/><Relationship Id="rId3" Type="http://schemas.openxmlformats.org/officeDocument/2006/relationships/customXml" Target="/customXml/item2.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265</c:v>
                </c:pt>
                <c:pt idx="1">
                  <c:v>915</c:v>
                </c:pt>
                <c:pt idx="2">
                  <c:v>0</c:v>
                </c:pt>
                <c:pt idx="3">
                  <c:v>100</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ser>
          <c:idx val="1"/>
          <c:order val="1"/>
          <c:tx>
            <c:strRef>
              <c:f>Plannification!$E$4</c:f>
              <c:strCache>
                <c:ptCount val="1"/>
                <c:pt idx="0">
                  <c:v>Plannification Effective</c:v>
                </c:pt>
              </c:strCache>
            </c:strRef>
          </c:tx>
          <c:spPr>
            <a:solidFill>
              <a:srgbClr val="00B0F0"/>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Plannification!$G$6:$G$10</c:f>
              <c:numCache>
                <c:formatCode>General</c:formatCode>
                <c:ptCount val="5"/>
                <c:pt idx="0">
                  <c:v>0.20703125</c:v>
                </c:pt>
                <c:pt idx="1">
                  <c:v>0.71484375</c:v>
                </c:pt>
                <c:pt idx="2">
                  <c:v>0</c:v>
                </c:pt>
                <c:pt idx="3">
                  <c:v>0.078125</c:v>
                </c:pt>
                <c:pt idx="4">
                  <c:v>0</c:v>
                </c:pt>
              </c:numCache>
            </c:numRef>
          </c:val>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General" sourceLinked="1"/>
        <c:majorTickMark val="out"/>
        <c:minorTickMark val="none"/>
        <c:tickLblPos val="nextTo"/>
        <c:crossAx val="1"/>
        <c:crosses val="autoZero"/>
        <c:crossBetween val="between"/>
      </c:valAx>
    </c:plotArea>
    <c:legend>
      <c:legendPos val="r"/>
      <c:overlay val="0"/>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4</xdr:col>
      <xdr:colOff>0</xdr:colOff>
      <xdr:row>12</xdr:row>
      <xdr:rowOff>19050</xdr:rowOff>
    </xdr:from>
    <xdr:to>
      <xdr:col>10</xdr:col>
      <xdr:colOff>203200</xdr:colOff>
      <xdr:row>35</xdr:row>
      <xdr:rowOff>185744</xdr:rowOff>
    </xdr:to>
    <xdr:graphicFrame macro="">
      <xdr:nvGraphicFramePr>
        <xdr:cNvPr id="2" name="Chart 1"/>
        <xdr:cNvGraphicFramePr/>
      </xdr:nvGraphicFramePr>
      <xdr:xfrm>
        <a:off x="0" y="0"/>
        <a:ext cx="5499100" cy="5708512"/>
      </xdr:xfrm>
      <a:graphic>
        <a:graphicData uri="http://schemas.openxmlformats.org/drawingml/2006/chart">
          <c:chart r:id="rId1"/>
        </a:graphicData>
      </a:graphic>
    </xdr:graphicFrame>
    <xdr:clientData/>
  </xdr:twoCellAnchor>
  <xdr:twoCellAnchor>
    <xdr:from>
      <xdr:col>11</xdr:col>
      <xdr:colOff>0</xdr:colOff>
      <xdr:row>12</xdr:row>
      <xdr:rowOff>12700</xdr:rowOff>
    </xdr:from>
    <xdr:to>
      <xdr:col>17</xdr:col>
      <xdr:colOff>419100</xdr:colOff>
      <xdr:row>35</xdr:row>
      <xdr:rowOff>173044</xdr:rowOff>
    </xdr:to>
    <xdr:graphicFrame macro="">
      <xdr:nvGraphicFramePr>
        <xdr:cNvPr id="3" name="Chart 2"/>
        <xdr:cNvGraphicFramePr/>
      </xdr:nvGraphicFramePr>
      <xdr:xfrm>
        <a:off x="0" y="0"/>
        <a:ext cx="5572125" cy="5702162"/>
      </xdr:xfrm>
      <a:graphic>
        <a:graphicData uri="http://schemas.openxmlformats.org/drawingml/2006/chart">
          <c:chart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1</xdr:col>
      <xdr:colOff>12700</xdr:colOff>
      <xdr:row>2</xdr:row>
      <xdr:rowOff>6350</xdr:rowOff>
    </xdr:from>
    <xdr:to>
      <xdr:col>14</xdr:col>
      <xdr:colOff>733425</xdr:colOff>
      <xdr:row>38</xdr:row>
      <xdr:rowOff>200025</xdr:rowOff>
    </xdr:to>
    <xdr:graphicFrame macro="">
      <xdr:nvGraphicFramePr>
        <xdr:cNvPr id="2" name="Chart 1"/>
        <xdr:cNvGraphicFramePr/>
      </xdr:nvGraphicFramePr>
      <xdr:xfrm>
        <a:off x="0" y="0"/>
        <a:ext cx="10255250" cy="7394575"/>
      </xdr:xfrm>
      <a:graphic>
        <a:graphicData uri="http://schemas.openxmlformats.org/drawingml/2006/chart">
          <c:chart r:id="rId1"/>
        </a:graphicData>
      </a:graphic>
    </xdr:graphicFrame>
    <xdr:clientData/>
  </xdr:twoCellAnchor>
</xdr:wsDr>
</file>

<file path=xl/tables/table1.xml><?xml version="1.0" encoding="utf-8"?>
<table xmlns="http://schemas.openxmlformats.org/spreadsheetml/2006/main" id="1" name="Table1" displayName="Table1" ref="A6:I532" totalsRowShown="0">
  <autoFilter ref="A6:I532"/>
  <tableColumns count="9">
    <tableColumn id="1" name="Semaine">
      <calculatedColumnFormula>IF(ISBLANK(B7),"",_xlfn.ISOWEEKNUM('Journal de travail'!$B7))</calculatedColumnFormula>
    </tableColumn>
    <tableColumn id="2" name="Jour"/>
    <tableColumn id="3" name="h.      "/>
    <tableColumn id="4" name="min."/>
    <tableColumn id="5" name="Type"/>
    <tableColumn id="6" name="Description"/>
    <tableColumn id="7" name="Remarques/problèmes"/>
    <tableColumn id="8" name="Temps par jour">
      <calculatedColumnFormula>IF(OR(ISBLANK(B7),B7=""),"",IF(B7=B6,"",INT(((SUMIF(B:B,B7,C:C)*60)+SUMIF(B:B,B7,D:D))/60)&amp;" h "&amp;TEXT(MOD((SUMIF(B:B,B7,C:C)*60)+SUMIF(B:B,B7,D:D),60),"00")&amp;" min"))</calculatedColumnFormula>
    </tableColumn>
    <tableColumn id="9"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xl/printerSettings/printerSettings1.bin"/><Relationship Id="rId2"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xl/printerSettings/printerSettings2.bin"/><Relationship Id="rId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xl/printerSettings/printerSettings3.bin"/><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O532"/>
  <sheetViews>
    <sheetView tabSelected="1" zoomScale="120" zoomScaleNormal="120" workbookViewId="0">
      <pane ySplit="6" topLeftCell="A44" activePane="bottomLeft" state="frozen"/>
      <selection pane="bottomLeft" activeCell="F57" sqref="F57"/>
    </sheetView>
  </sheetViews>
  <sheetFormatPr defaultColWidth="11.00390625" defaultRowHeight="15.75" customHeight="1"/>
  <cols>
    <col min="1" max="1" width="14.421875" style="7" customWidth="1"/>
    <col min="2" max="2" width="11.8515625" style="1" customWidth="1"/>
    <col min="3" max="3" width="12.140625" style="2" customWidth="1"/>
    <col min="4" max="4" width="10.421875" style="2" customWidth="1"/>
    <col min="5" max="5" width="14.140625" customWidth="1"/>
    <col min="6" max="6" width="83.421875" customWidth="1"/>
    <col min="7" max="7" width="72.140625" customWidth="1"/>
    <col min="8" max="8" width="18.421875" customWidth="1"/>
    <col min="10" max="10" width="7.140625" customWidth="1"/>
    <col min="11" max="11" width="13.8515625" customWidth="1"/>
    <col min="12" max="12" width="4.140625" customWidth="1"/>
    <col min="13" max="13" width="14.421875" hidden="1" customWidth="1"/>
    <col min="14" max="14" width="4.57421875" hidden="1" customWidth="1"/>
    <col min="15" max="15" width="7.57421875" hidden="1" customWidth="1"/>
  </cols>
  <sheetData>
    <row r="1" ht="25.77">
      <c r="A1" s="8"/>
      <c r="B1" s="9"/>
      <c r="C1" s="10"/>
      <c r="D1" s="10"/>
      <c r="E1" s="11"/>
      <c r="F1" s="12" t="s">
        <v>0</v>
      </c>
      <c r="G1" s="11"/>
    </row>
    <row r="2" ht="25.77">
      <c r="A2" s="5" t="s">
        <v>1</v>
      </c>
      <c r="B2" s="5"/>
      <c r="C2" s="82" t="s">
        <v>2</v>
      </c>
      <c r="D2" s="82"/>
      <c r="E2" s="82"/>
      <c r="F2" s="5" t="s">
        <v>3</v>
      </c>
      <c r="G2" s="62" t="s">
        <v>4</v>
      </c>
    </row>
    <row r="3" ht="25.77">
      <c r="A3" s="5" t="s">
        <v>5</v>
      </c>
      <c r="B3" s="5"/>
      <c r="C3" s="65" t="str">
        <f>QUOTIENT(E4,60)&amp;" heures "&amp;MOD(E4,60)&amp;" minutes"</f>
        <v>21 heures 20 minutes</v>
      </c>
      <c r="D3" s="16"/>
      <c r="E3" s="3"/>
      <c r="F3" s="4" t="s">
        <v>6</v>
      </c>
      <c r="G3" s="63" t="s">
        <v>7</v>
      </c>
    </row>
    <row r="4" ht="25.77" hidden="1">
      <c r="B4" s="5"/>
      <c r="C4" s="16">
        <f>SUBTOTAL(9,$C$7:$C$531)*60</f>
        <v>360</v>
      </c>
      <c r="D4" s="16">
        <f>SUBTOTAL(9,$D$7:$D$531)</f>
        <v>920</v>
      </c>
      <c r="E4" s="16">
        <f>SUM(C4:D4)</f>
        <v>1280</v>
      </c>
      <c r="F4" s="4"/>
      <c r="G4" s="6"/>
    </row>
    <row r="5" ht="17.18">
      <c r="C5" s="83" t="s">
        <v>8</v>
      </c>
      <c r="D5" s="83"/>
    </row>
    <row r="6" s="0" customFormat="1" ht="20.1" customHeight="1">
      <c r="A6" s="13" t="s">
        <v>9</v>
      </c>
      <c r="B6" s="20" t="s">
        <v>10</v>
      </c>
      <c r="C6" s="23" t="s">
        <v>11</v>
      </c>
      <c r="D6" s="15" t="s">
        <v>12</v>
      </c>
      <c r="E6" s="14" t="s">
        <v>13</v>
      </c>
      <c r="F6" s="14" t="s">
        <v>14</v>
      </c>
      <c r="G6" s="14" t="s">
        <v>15</v>
      </c>
      <c r="H6" s="84" t="s">
        <v>16</v>
      </c>
      <c r="I6" s="14" t="s">
        <v>17</v>
      </c>
    </row>
    <row r="7" ht="17.18">
      <c r="A7" s="59">
        <f>IF(ISBLANK(B7),"",_xlfn.ISOWEEKNUM('Journal de travail'!$B7))</f>
        <v>35</v>
      </c>
      <c r="B7" s="24">
        <v>46258</v>
      </c>
      <c r="C7" s="25">
        <v>1</v>
      </c>
      <c r="D7" s="26">
        <v>30</v>
      </c>
      <c r="E7" s="27" t="s">
        <v>18</v>
      </c>
      <c r="F7" s="22" t="s">
        <v>19</v>
      </c>
      <c r="G7" s="36" t="s">
        <v>20</v>
      </c>
      <c r="H7" t="str">
        <f>IF(OR(ISBLANK(B7),B7=""),"",IF(B7=B6,"",INT(((SUMIF(B:B,B7,C:C)*60)+SUMIF(B:B,B7,D:D))/60)&amp;" h "&amp;TEXT(MOD((SUMIF(B:B,B7,C:C)*60)+SUMIF(B:B,B7,D:D),60),"00")&amp;" min"))</f>
        <v>2 h 55 min</v>
      </c>
      <c r="I7" t="s">
        <v>21</v>
      </c>
    </row>
    <row r="8" ht="17.18">
      <c r="A8" s="60">
        <f>IF(ISBLANK(B8),"",_xlfn.ISOWEEKNUM('Journal de travail'!$B8))</f>
        <v>35</v>
      </c>
      <c r="B8" s="28">
        <v>46258</v>
      </c>
      <c r="C8" s="29"/>
      <c r="D8" s="30">
        <v>20</v>
      </c>
      <c r="E8" s="31" t="s">
        <v>22</v>
      </c>
      <c r="F8" s="22" t="s">
        <v>23</v>
      </c>
      <c r="G8" s="37"/>
      <c r="H8" t="str">
        <f>IF(OR(ISBLANK(B8),B8=""),"",IF(B8=B7,"",INT(((SUMIF(B:B,B8,C:C)*60)+SUMIF(B:B,B8,D:D))/60)&amp;" h "&amp;TEXT(MOD((SUMIF(B:B,B8,C:C)*60)+SUMIF(B:B,B8,D:D),60),"00")&amp;" min"))</f>
        <v/>
      </c>
      <c r="M8" t="s">
        <v>18</v>
      </c>
      <c r="N8">
        <v>1</v>
      </c>
      <c r="O8">
        <v>0</v>
      </c>
    </row>
    <row r="9" ht="17.18">
      <c r="A9" s="61">
        <f>IF(ISBLANK(B9),"",_xlfn.ISOWEEKNUM('Journal de travail'!$B9))</f>
        <v>35</v>
      </c>
      <c r="B9" s="32">
        <v>46258</v>
      </c>
      <c r="C9" s="33"/>
      <c r="D9" s="34">
        <v>40</v>
      </c>
      <c r="E9" s="35" t="s">
        <v>22</v>
      </c>
      <c r="F9" s="22" t="s">
        <v>24</v>
      </c>
      <c r="G9" s="38"/>
      <c r="H9" t="str">
        <f>IF(OR(ISBLANK(B9),B9=""),"",IF(B9=B8,"",INT(((SUMIF(B:B,B9,C:C)*60)+SUMIF(B:B,B9,D:D))/60)&amp;" h "&amp;TEXT(MOD((SUMIF(B:B,B9,C:C)*60)+SUMIF(B:B,B9,D:D),60),"00")&amp;" min"))</f>
        <v/>
      </c>
      <c r="M9" t="s">
        <v>22</v>
      </c>
      <c r="N9">
        <v>2</v>
      </c>
      <c r="O9">
        <v>5</v>
      </c>
    </row>
    <row r="10" ht="17.18">
      <c r="A10" s="60">
        <f>IF(ISBLANK(B10),"",_xlfn.ISOWEEKNUM('Journal de travail'!$B10))</f>
        <v>35</v>
      </c>
      <c r="B10" s="28">
        <v>46258</v>
      </c>
      <c r="C10" s="29"/>
      <c r="D10" s="30">
        <v>10</v>
      </c>
      <c r="E10" s="31" t="s">
        <v>25</v>
      </c>
      <c r="F10" s="22" t="s">
        <v>26</v>
      </c>
      <c r="G10" s="37"/>
      <c r="H10" t="str">
        <f>IF(OR(ISBLANK(B10),B10=""),"",IF(B10=B9,"",INT(((SUMIF(B:B,B10,C:C)*60)+SUMIF(B:B,B10,D:D))/60)&amp;" h "&amp;TEXT(MOD((SUMIF(B:B,B10,C:C)*60)+SUMIF(B:B,B10,D:D),60),"00")&amp;" min"))</f>
        <v/>
      </c>
      <c r="M10" t="s">
        <v>27</v>
      </c>
      <c r="N10">
        <v>3</v>
      </c>
      <c r="O10">
        <v>10</v>
      </c>
    </row>
    <row r="11" ht="17.18">
      <c r="A11" s="61">
        <f>IF(ISBLANK(B11),"",_xlfn.ISOWEEKNUM('Journal de travail'!$B11))</f>
        <v>35</v>
      </c>
      <c r="B11" s="32">
        <v>46258</v>
      </c>
      <c r="C11" s="33"/>
      <c r="D11" s="34">
        <v>15</v>
      </c>
      <c r="E11" s="35" t="s">
        <v>22</v>
      </c>
      <c r="F11" s="22" t="s">
        <v>28</v>
      </c>
      <c r="G11" s="38"/>
      <c r="H11" t="str">
        <f>IF(OR(ISBLANK(B11),B11=""),"",IF(B11=B10,"",INT(((SUMIF(B:B,B11,C:C)*60)+SUMIF(B:B,B11,D:D))/60)&amp;" h "&amp;TEXT(MOD((SUMIF(B:B,B11,C:C)*60)+SUMIF(B:B,B11,D:D),60),"00")&amp;" min"))</f>
        <v/>
      </c>
      <c r="M11" t="s">
        <v>25</v>
      </c>
      <c r="N11">
        <v>4</v>
      </c>
      <c r="O11">
        <v>15</v>
      </c>
    </row>
    <row r="12" ht="17.18">
      <c r="A12" s="60">
        <f>IF(ISBLANK(B12),"",_xlfn.ISOWEEKNUM('Journal de travail'!$B12))</f>
        <v>36</v>
      </c>
      <c r="B12" s="28">
        <v>46265</v>
      </c>
      <c r="C12" s="29"/>
      <c r="D12" s="30">
        <v>20</v>
      </c>
      <c r="E12" s="31" t="s">
        <v>18</v>
      </c>
      <c r="F12" s="22" t="s">
        <v>29</v>
      </c>
      <c r="G12" s="37"/>
      <c r="H12" t="str">
        <f>IF(OR(ISBLANK(B12),B12=""),"",IF(B12=B11,"",INT(((SUMIF(B:B,B12,C:C)*60)+SUMIF(B:B,B12,D:D))/60)&amp;" h "&amp;TEXT(MOD((SUMIF(B:B,B12,C:C)*60)+SUMIF(B:B,B12,D:D),60),"00")&amp;" min"))</f>
        <v>3 h 00 min</v>
      </c>
      <c r="I12" t="s">
        <v>30</v>
      </c>
      <c r="M12" t="s">
        <v>31</v>
      </c>
      <c r="N12">
        <v>5</v>
      </c>
      <c r="O12">
        <v>20</v>
      </c>
    </row>
    <row r="13" ht="17.18">
      <c r="A13" s="61">
        <f>IF(ISBLANK(B13),"",_xlfn.ISOWEEKNUM('Journal de travail'!$B13))</f>
        <v>36</v>
      </c>
      <c r="B13" s="32">
        <v>46265</v>
      </c>
      <c r="C13" s="33"/>
      <c r="D13" s="34">
        <v>10</v>
      </c>
      <c r="E13" s="35" t="s">
        <v>18</v>
      </c>
      <c r="F13" s="22" t="s">
        <v>32</v>
      </c>
      <c r="G13" s="38"/>
      <c r="H13" t="str">
        <f>IF(OR(ISBLANK(B13),B13=""),"",IF(B13=B12,"",INT(((SUMIF(B:B,B13,C:C)*60)+SUMIF(B:B,B13,D:D))/60)&amp;" h "&amp;TEXT(MOD((SUMIF(B:B,B13,C:C)*60)+SUMIF(B:B,B13,D:D),60),"00")&amp;" min"))</f>
        <v/>
      </c>
      <c r="N13">
        <v>6</v>
      </c>
      <c r="O13">
        <v>25</v>
      </c>
    </row>
    <row r="14" ht="17.18">
      <c r="A14" s="60">
        <f>IF(ISBLANK(B14),"",_xlfn.ISOWEEKNUM('Journal de travail'!$B14))</f>
        <v>36</v>
      </c>
      <c r="B14" s="28">
        <v>46265</v>
      </c>
      <c r="C14" s="29"/>
      <c r="D14" s="30">
        <v>25</v>
      </c>
      <c r="E14" s="31" t="s">
        <v>22</v>
      </c>
      <c r="F14" s="22" t="s">
        <v>33</v>
      </c>
      <c r="G14" s="37"/>
      <c r="H14" t="str">
        <f>IF(OR(ISBLANK(B14),B14=""),"",IF(B14=B13,"",INT(((SUMIF(B:B,B14,C:C)*60)+SUMIF(B:B,B14,D:D))/60)&amp;" h "&amp;TEXT(MOD((SUMIF(B:B,B14,C:C)*60)+SUMIF(B:B,B14,D:D),60),"00")&amp;" min"))</f>
        <v/>
      </c>
      <c r="N14">
        <v>7</v>
      </c>
      <c r="O14">
        <v>30</v>
      </c>
    </row>
    <row r="15" ht="17.18">
      <c r="A15" s="61">
        <f>IF(ISBLANK(B15),"",_xlfn.ISOWEEKNUM('Journal de travail'!$B15))</f>
        <v>36</v>
      </c>
      <c r="B15" s="32">
        <v>46265</v>
      </c>
      <c r="C15" s="33"/>
      <c r="D15" s="34">
        <v>40</v>
      </c>
      <c r="E15" s="35" t="s">
        <v>22</v>
      </c>
      <c r="F15" s="22" t="s">
        <v>34</v>
      </c>
      <c r="G15" s="38"/>
      <c r="H15" t="str">
        <f>IF(OR(ISBLANK(B15),B15=""),"",IF(B15=B14,"",INT(((SUMIF(B:B,B15,C:C)*60)+SUMIF(B:B,B15,D:D))/60)&amp;" h "&amp;TEXT(MOD((SUMIF(B:B,B15,C:C)*60)+SUMIF(B:B,B15,D:D),60),"00")&amp;" min"))</f>
        <v/>
      </c>
      <c r="N15">
        <v>8</v>
      </c>
      <c r="O15">
        <v>35</v>
      </c>
    </row>
    <row r="16" ht="33.75">
      <c r="A16" s="60">
        <f>IF(ISBLANK(B16),"",_xlfn.ISOWEEKNUM('Journal de travail'!$B16))</f>
        <v>36</v>
      </c>
      <c r="B16" s="28">
        <v>46265</v>
      </c>
      <c r="C16" s="29"/>
      <c r="D16" s="30">
        <v>40</v>
      </c>
      <c r="E16" s="31" t="s">
        <v>22</v>
      </c>
      <c r="F16" s="22" t="s">
        <v>28</v>
      </c>
      <c r="G16" s="37" t="s">
        <v>35</v>
      </c>
      <c r="H16" t="str">
        <f>IF(OR(ISBLANK(B16),B16=""),"",IF(B16=B15,"",INT(((SUMIF(B:B,B16,C:C)*60)+SUMIF(B:B,B16,D:D))/60)&amp;" h "&amp;TEXT(MOD((SUMIF(B:B,B16,C:C)*60)+SUMIF(B:B,B16,D:D),60),"00")&amp;" min"))</f>
        <v/>
      </c>
      <c r="O16">
        <v>40</v>
      </c>
    </row>
    <row r="17" ht="33.75">
      <c r="A17" s="61">
        <f>IF(ISBLANK(B17),"",_xlfn.ISOWEEKNUM('Journal de travail'!$B17))</f>
        <v>36</v>
      </c>
      <c r="B17" s="32">
        <v>46265</v>
      </c>
      <c r="C17" s="33"/>
      <c r="D17" s="34">
        <v>45</v>
      </c>
      <c r="E17" s="35" t="s">
        <v>25</v>
      </c>
      <c r="F17" s="22" t="s">
        <v>36</v>
      </c>
      <c r="G17" s="38" t="s">
        <v>37</v>
      </c>
      <c r="H17" t="str">
        <f>IF(OR(ISBLANK(B17),B17=""),"",IF(B17=B16,"",INT(((SUMIF(B:B,B17,C:C)*60)+SUMIF(B:B,B17,D:D))/60)&amp;" h "&amp;TEXT(MOD((SUMIF(B:B,B17,C:C)*60)+SUMIF(B:B,B17,D:D),60),"00")&amp;" min"))</f>
        <v/>
      </c>
      <c r="O17">
        <v>45</v>
      </c>
    </row>
    <row r="18" ht="17.18">
      <c r="A18" s="60">
        <f>IF(ISBLANK(B18),"",_xlfn.ISOWEEKNUM('Journal de travail'!$B18))</f>
        <v>37</v>
      </c>
      <c r="B18" s="28">
        <v>46272</v>
      </c>
      <c r="C18" s="29"/>
      <c r="D18" s="30">
        <v>10</v>
      </c>
      <c r="E18" s="31" t="s">
        <v>18</v>
      </c>
      <c r="F18" s="22" t="s">
        <v>38</v>
      </c>
      <c r="G18" s="37"/>
      <c r="H18" t="str">
        <f>IF(OR(ISBLANK(B18),B18=""),"",IF(B18=B17,"",INT(((SUMIF(B:B,B18,C:C)*60)+SUMIF(B:B,B18,D:D))/60)&amp;" h "&amp;TEXT(MOD((SUMIF(B:B,B18,C:C)*60)+SUMIF(B:B,B18,D:D),60),"00")&amp;" min"))</f>
        <v>2 h 55 min</v>
      </c>
      <c r="I18" t="s">
        <v>39</v>
      </c>
      <c r="O18">
        <v>50</v>
      </c>
    </row>
    <row r="19" ht="33.75">
      <c r="A19" s="61">
        <f>IF(ISBLANK(B19),"",_xlfn.ISOWEEKNUM('Journal de travail'!$B19))</f>
        <v>37</v>
      </c>
      <c r="B19" s="32">
        <v>46272</v>
      </c>
      <c r="C19" s="33"/>
      <c r="D19" s="34">
        <v>10</v>
      </c>
      <c r="E19" s="35" t="s">
        <v>18</v>
      </c>
      <c r="F19" s="22" t="s">
        <v>32</v>
      </c>
      <c r="G19" s="38" t="s">
        <v>40</v>
      </c>
      <c r="H19" t="str">
        <f>IF(OR(ISBLANK(B19),B19=""),"",IF(B19=B18,"",INT(((SUMIF(B:B,B19,C:C)*60)+SUMIF(B:B,B19,D:D))/60)&amp;" h "&amp;TEXT(MOD((SUMIF(B:B,B19,C:C)*60)+SUMIF(B:B,B19,D:D),60),"00")&amp;" min"))</f>
        <v/>
      </c>
      <c r="O19">
        <v>55</v>
      </c>
    </row>
    <row r="20" ht="17.18">
      <c r="A20" s="60">
        <f>IF(ISBLANK(B20),"",_xlfn.ISOWEEKNUM('Journal de travail'!$B20))</f>
        <v>37</v>
      </c>
      <c r="B20" s="28">
        <v>46272</v>
      </c>
      <c r="C20" s="29"/>
      <c r="D20" s="30">
        <v>10</v>
      </c>
      <c r="E20" s="31" t="s">
        <v>22</v>
      </c>
      <c r="F20" s="22" t="s">
        <v>41</v>
      </c>
      <c r="G20" s="37"/>
      <c r="H20" t="str">
        <f>IF(OR(ISBLANK(B20),B20=""),"",IF(B20=B19,"",INT(((SUMIF(B:B,B20,C:C)*60)+SUMIF(B:B,B20,D:D))/60)&amp;" h "&amp;TEXT(MOD((SUMIF(B:B,B20,C:C)*60)+SUMIF(B:B,B20,D:D),60),"00")&amp;" min"))</f>
        <v/>
      </c>
    </row>
    <row r="21" ht="17.18">
      <c r="A21" s="61">
        <f>IF(ISBLANK(B21),"",_xlfn.ISOWEEKNUM('Journal de travail'!$B21))</f>
        <v>37</v>
      </c>
      <c r="B21" s="32">
        <v>46272</v>
      </c>
      <c r="C21" s="33"/>
      <c r="D21" s="34">
        <v>20</v>
      </c>
      <c r="E21" s="35" t="s">
        <v>22</v>
      </c>
      <c r="F21" s="22" t="s">
        <v>42</v>
      </c>
      <c r="G21" s="38"/>
      <c r="H21" t="str">
        <f>IF(OR(ISBLANK(B21),B21=""),"",IF(B21=B20,"",INT(((SUMIF(B:B,B21,C:C)*60)+SUMIF(B:B,B21,D:D))/60)&amp;" h "&amp;TEXT(MOD((SUMIF(B:B,B21,C:C)*60)+SUMIF(B:B,B21,D:D),60),"00")&amp;" min"))</f>
        <v/>
      </c>
    </row>
    <row r="22" ht="48">
      <c r="A22" s="60">
        <f>IF(ISBLANK(B22),"",_xlfn.ISOWEEKNUM('Journal de travail'!$B22))</f>
        <v>37</v>
      </c>
      <c r="B22" s="28">
        <v>46272</v>
      </c>
      <c r="C22" s="29">
        <v>1</v>
      </c>
      <c r="D22" s="30"/>
      <c r="E22" s="31" t="s">
        <v>22</v>
      </c>
      <c r="F22" s="22" t="s">
        <v>43</v>
      </c>
      <c r="G22" s="37" t="s">
        <v>44</v>
      </c>
      <c r="H22" t="str">
        <f>IF(OR(ISBLANK(B22),B22=""),"",IF(B22=B21,"",INT(((SUMIF(B:B,B22,C:C)*60)+SUMIF(B:B,B22,D:D))/60)&amp;" h "&amp;TEXT(MOD((SUMIF(B:B,B22,C:C)*60)+SUMIF(B:B,B22,D:D),60),"00")&amp;" min"))</f>
        <v/>
      </c>
    </row>
    <row r="23" ht="17.18">
      <c r="A23" s="61">
        <f>IF(ISBLANK(B23),"",_xlfn.ISOWEEKNUM('Journal de travail'!$B23))</f>
        <v>37</v>
      </c>
      <c r="B23" s="32">
        <v>46272</v>
      </c>
      <c r="C23" s="33"/>
      <c r="D23" s="34">
        <v>30</v>
      </c>
      <c r="E23" s="35" t="s">
        <v>22</v>
      </c>
      <c r="F23" s="22" t="s">
        <v>45</v>
      </c>
      <c r="G23" s="38"/>
      <c r="H23" t="str">
        <f>IF(OR(ISBLANK(B23),B23=""),"",IF(B23=B22,"",INT(((SUMIF(B:B,B23,C:C)*60)+SUMIF(B:B,B23,D:D))/60)&amp;" h "&amp;TEXT(MOD((SUMIF(B:B,B23,C:C)*60)+SUMIF(B:B,B23,D:D),60),"00")&amp;" min"))</f>
        <v/>
      </c>
    </row>
    <row r="24" ht="17.18">
      <c r="A24" s="60">
        <f>IF(ISBLANK(B24),"",_xlfn.ISOWEEKNUM('Journal de travail'!$B24))</f>
        <v>37</v>
      </c>
      <c r="B24" s="28">
        <v>46272</v>
      </c>
      <c r="C24" s="29"/>
      <c r="D24" s="30">
        <v>10</v>
      </c>
      <c r="E24" s="31" t="s">
        <v>18</v>
      </c>
      <c r="F24" s="22" t="s">
        <v>46</v>
      </c>
      <c r="G24" s="37"/>
      <c r="H24" t="str">
        <f>IF(OR(ISBLANK(B24),B24=""),"",IF(B24=B23,"",INT(((SUMIF(B:B,B24,C:C)*60)+SUMIF(B:B,B24,D:D))/60)&amp;" h "&amp;TEXT(MOD((SUMIF(B:B,B24,C:C)*60)+SUMIF(B:B,B24,D:D),60),"00")&amp;" min"))</f>
        <v/>
      </c>
    </row>
    <row r="25" ht="17.18">
      <c r="A25" s="61">
        <f>IF(ISBLANK(B25),"",_xlfn.ISOWEEKNUM('Journal de travail'!$B25))</f>
        <v>37</v>
      </c>
      <c r="B25" s="32">
        <v>46272</v>
      </c>
      <c r="C25" s="33"/>
      <c r="D25" s="34">
        <v>5</v>
      </c>
      <c r="E25" s="35" t="s">
        <v>25</v>
      </c>
      <c r="F25" s="22" t="s">
        <v>47</v>
      </c>
      <c r="G25" s="38"/>
      <c r="H25" t="str">
        <f>IF(OR(ISBLANK(B25),B25=""),"",IF(B25=B24,"",INT(((SUMIF(B:B,B25,C:C)*60)+SUMIF(B:B,B25,D:D))/60)&amp;" h "&amp;TEXT(MOD((SUMIF(B:B,B25,C:C)*60)+SUMIF(B:B,B25,D:D),60),"00")&amp;" min"))</f>
        <v/>
      </c>
    </row>
    <row r="26" ht="17.18">
      <c r="A26" s="60">
        <f>IF(ISBLANK(B26),"",_xlfn.ISOWEEKNUM('Journal de travail'!$B26))</f>
        <v>37</v>
      </c>
      <c r="B26" s="28">
        <v>46272</v>
      </c>
      <c r="C26" s="29"/>
      <c r="D26" s="30">
        <v>10</v>
      </c>
      <c r="E26" s="31" t="s">
        <v>25</v>
      </c>
      <c r="F26" s="22" t="s">
        <v>48</v>
      </c>
      <c r="G26" s="37"/>
      <c r="H26" t="str">
        <f>IF(OR(ISBLANK(B26),B26=""),"",IF(B26=B25,"",INT(((SUMIF(B:B,B26,C:C)*60)+SUMIF(B:B,B26,D:D))/60)&amp;" h "&amp;TEXT(MOD((SUMIF(B:B,B26,C:C)*60)+SUMIF(B:B,B26,D:D),60),"00")&amp;" min"))</f>
        <v/>
      </c>
    </row>
    <row r="27" ht="17.18">
      <c r="A27" s="61">
        <f>IF(ISBLANK(B27),"",_xlfn.ISOWEEKNUM('Journal de travail'!$B27))</f>
        <v>37</v>
      </c>
      <c r="B27" s="32">
        <v>46272</v>
      </c>
      <c r="C27" s="33"/>
      <c r="D27" s="34">
        <v>10</v>
      </c>
      <c r="E27" s="35" t="s">
        <v>22</v>
      </c>
      <c r="F27" s="22" t="s">
        <v>49</v>
      </c>
      <c r="G27" s="38"/>
      <c r="H27" t="str">
        <f>IF(OR(ISBLANK(B27),B27=""),"",IF(B27=B26,"",INT(((SUMIF(B:B,B27,C:C)*60)+SUMIF(B:B,B27,D:D))/60)&amp;" h "&amp;TEXT(MOD((SUMIF(B:B,B27,C:C)*60)+SUMIF(B:B,B27,D:D),60),"00")&amp;" min"))</f>
        <v/>
      </c>
    </row>
    <row r="28" ht="17.18">
      <c r="A28" s="60">
        <f>IF(ISBLANK(B28),"",_xlfn.ISOWEEKNUM('Journal de travail'!$B28))</f>
        <v>38</v>
      </c>
      <c r="B28" s="28">
        <v>46279</v>
      </c>
      <c r="C28" s="29"/>
      <c r="D28" s="30">
        <v>10</v>
      </c>
      <c r="E28" s="31" t="s">
        <v>18</v>
      </c>
      <c r="F28" s="21" t="s">
        <v>50</v>
      </c>
      <c r="G28" s="37"/>
      <c r="H28" t="str">
        <f>IF(OR(ISBLANK(B28),B28=""),"",IF(B28=B27,"",INT(((SUMIF(B:B,B28,C:C)*60)+SUMIF(B:B,B28,D:D))/60)&amp;" h "&amp;TEXT(MOD((SUMIF(B:B,B28,C:C)*60)+SUMIF(B:B,B28,D:D),60),"00")&amp;" min"))</f>
        <v>3 h 00 min</v>
      </c>
      <c r="I28" t="s">
        <v>51</v>
      </c>
    </row>
    <row r="29" ht="17.18">
      <c r="A29" s="61">
        <f>IF(ISBLANK(B29),"",_xlfn.ISOWEEKNUM('Journal de travail'!$B29))</f>
        <v>38</v>
      </c>
      <c r="B29" s="32">
        <v>46279</v>
      </c>
      <c r="C29" s="33"/>
      <c r="D29" s="34">
        <v>5</v>
      </c>
      <c r="E29" s="35" t="s">
        <v>18</v>
      </c>
      <c r="F29" s="21" t="s">
        <v>32</v>
      </c>
      <c r="G29" s="38"/>
      <c r="H29" t="str">
        <f>IF(OR(ISBLANK(B29),B29=""),"",IF(B29=B28,"",INT(((SUMIF(B:B,B29,C:C)*60)+SUMIF(B:B,B29,D:D))/60)&amp;" h "&amp;TEXT(MOD((SUMIF(B:B,B29,C:C)*60)+SUMIF(B:B,B29,D:D),60),"00")&amp;" min"))</f>
        <v/>
      </c>
    </row>
    <row r="30" ht="33.75">
      <c r="A30" s="60">
        <f>IF(ISBLANK(B30),"",_xlfn.ISOWEEKNUM('Journal de travail'!$B30))</f>
        <v>38</v>
      </c>
      <c r="B30" s="28">
        <v>46279</v>
      </c>
      <c r="C30" s="29">
        <v>1</v>
      </c>
      <c r="D30" s="30">
        <v>50</v>
      </c>
      <c r="E30" s="31" t="s">
        <v>22</v>
      </c>
      <c r="F30" s="22" t="s">
        <v>52</v>
      </c>
      <c r="G30" s="37" t="s">
        <v>53</v>
      </c>
      <c r="H30" t="str">
        <f>IF(OR(ISBLANK(B30),B30=""),"",IF(B30=B29,"",INT(((SUMIF(B:B,B30,C:C)*60)+SUMIF(B:B,B30,D:D))/60)&amp;" h "&amp;TEXT(MOD((SUMIF(B:B,B30,C:C)*60)+SUMIF(B:B,B30,D:D),60),"00")&amp;" min"))</f>
        <v/>
      </c>
    </row>
    <row r="31" ht="33.75">
      <c r="A31" s="61">
        <f>IF(ISBLANK(B31),"",_xlfn.ISOWEEKNUM('Journal de travail'!$B31))</f>
        <v>38</v>
      </c>
      <c r="B31" s="32">
        <v>46279</v>
      </c>
      <c r="C31" s="33"/>
      <c r="D31" s="34">
        <v>30</v>
      </c>
      <c r="E31" s="35" t="s">
        <v>18</v>
      </c>
      <c r="F31" s="21" t="s">
        <v>54</v>
      </c>
      <c r="G31" s="38" t="s">
        <v>55</v>
      </c>
      <c r="H31" t="str">
        <f>IF(OR(ISBLANK(B31),B31=""),"",IF(B31=B30,"",INT(((SUMIF(B:B,B31,C:C)*60)+SUMIF(B:B,B31,D:D))/60)&amp;" h "&amp;TEXT(MOD((SUMIF(B:B,B31,C:C)*60)+SUMIF(B:B,B31,D:D),60),"00")&amp;" min"))</f>
        <v/>
      </c>
    </row>
    <row r="32" ht="33.75">
      <c r="A32" s="60">
        <f>IF(ISBLANK(B32),"",_xlfn.ISOWEEKNUM('Journal de travail'!$B32))</f>
        <v>38</v>
      </c>
      <c r="B32" s="28">
        <v>46279</v>
      </c>
      <c r="C32" s="29"/>
      <c r="D32" s="30">
        <v>10</v>
      </c>
      <c r="E32" s="31" t="s">
        <v>22</v>
      </c>
      <c r="F32" s="22" t="s">
        <v>56</v>
      </c>
      <c r="G32" s="37" t="s">
        <v>57</v>
      </c>
      <c r="H32" t="str">
        <f>IF(OR(ISBLANK(B32),B32=""),"",IF(B32=B31,"",INT(((SUMIF(B:B,B32,C:C)*60)+SUMIF(B:B,B32,D:D))/60)&amp;" h "&amp;TEXT(MOD((SUMIF(B:B,B32,C:C)*60)+SUMIF(B:B,B32,D:D),60),"00")&amp;" min"))</f>
        <v/>
      </c>
    </row>
    <row r="33" ht="17.18">
      <c r="A33" s="61">
        <f>IF(ISBLANK(B33),"",_xlfn.ISOWEEKNUM('Journal de travail'!$B33))</f>
        <v>38</v>
      </c>
      <c r="B33" s="32">
        <v>46279</v>
      </c>
      <c r="C33" s="33"/>
      <c r="D33" s="34">
        <v>15</v>
      </c>
      <c r="E33" s="35" t="s">
        <v>25</v>
      </c>
      <c r="F33" s="21" t="s">
        <v>58</v>
      </c>
      <c r="G33" s="38"/>
      <c r="H33" t="str">
        <f>IF(OR(ISBLANK(B33),B33=""),"",IF(B33=B32,"",INT(((SUMIF(B:B,B33,C:C)*60)+SUMIF(B:B,B33,D:D))/60)&amp;" h "&amp;TEXT(MOD((SUMIF(B:B,B33,C:C)*60)+SUMIF(B:B,B33,D:D),60),"00")&amp;" min"))</f>
        <v/>
      </c>
    </row>
    <row r="34" ht="17.18">
      <c r="A34" s="60">
        <f>IF(ISBLANK(B34),"",_xlfn.ISOWEEKNUM('Journal de travail'!$B34))</f>
        <v>40</v>
      </c>
      <c r="B34" s="28">
        <v>46293</v>
      </c>
      <c r="C34" s="29"/>
      <c r="D34" s="30">
        <v>5</v>
      </c>
      <c r="E34" s="31" t="s">
        <v>18</v>
      </c>
      <c r="F34" s="21" t="s">
        <v>59</v>
      </c>
      <c r="G34" s="37"/>
      <c r="H34" t="str">
        <f>IF(OR(ISBLANK(B34),B34=""),"",IF(B34=B33,"",INT(((SUMIF(B:B,B34,C:C)*60)+SUMIF(B:B,B34,D:D))/60)&amp;" h "&amp;TEXT(MOD((SUMIF(B:B,B34,C:C)*60)+SUMIF(B:B,B34,D:D),60),"00")&amp;" min"))</f>
        <v>3 h 05 min</v>
      </c>
      <c r="I34" t="s">
        <v>60</v>
      </c>
    </row>
    <row r="35" ht="48">
      <c r="A35" s="61">
        <f>IF(ISBLANK(B35),"",_xlfn.ISOWEEKNUM('Journal de travail'!$B35))</f>
        <v>40</v>
      </c>
      <c r="B35" s="28">
        <v>46293</v>
      </c>
      <c r="C35" s="33"/>
      <c r="D35" s="34">
        <v>10</v>
      </c>
      <c r="E35" s="35" t="s">
        <v>18</v>
      </c>
      <c r="F35" s="22" t="s">
        <v>32</v>
      </c>
      <c r="G35" s="38" t="s">
        <v>61</v>
      </c>
      <c r="H35" t="str">
        <f>IF(OR(ISBLANK(B35),B35=""),"",IF(B35=B34,"",INT(((SUMIF(B:B,B35,C:C)*60)+SUMIF(B:B,B35,D:D))/60)&amp;" h "&amp;TEXT(MOD((SUMIF(B:B,B35,C:C)*60)+SUMIF(B:B,B35,D:D),60),"00")&amp;" min"))</f>
        <v/>
      </c>
    </row>
    <row r="36" ht="48">
      <c r="A36" s="60">
        <f>IF(ISBLANK(B36),"",_xlfn.ISOWEEKNUM('Journal de travail'!$B36))</f>
        <v>40</v>
      </c>
      <c r="B36" s="28">
        <v>46293</v>
      </c>
      <c r="C36" s="29">
        <v>1</v>
      </c>
      <c r="D36" s="30">
        <v>15</v>
      </c>
      <c r="E36" s="31" t="s">
        <v>22</v>
      </c>
      <c r="F36" s="21" t="s">
        <v>62</v>
      </c>
      <c r="G36" s="37" t="s">
        <v>63</v>
      </c>
      <c r="H36" t="str">
        <f>IF(OR(ISBLANK(B36),B36=""),"",IF(B36=B35,"",INT(((SUMIF(B:B,B36,C:C)*60)+SUMIF(B:B,B36,D:D))/60)&amp;" h "&amp;TEXT(MOD((SUMIF(B:B,B36,C:C)*60)+SUMIF(B:B,B36,D:D),60),"00")&amp;" min"))</f>
        <v/>
      </c>
    </row>
    <row r="37" ht="92.25">
      <c r="A37" s="61">
        <f>IF(ISBLANK(B37),"",_xlfn.ISOWEEKNUM('Journal de travail'!$B37))</f>
        <v>40</v>
      </c>
      <c r="B37" s="32">
        <v>46293</v>
      </c>
      <c r="C37" s="33"/>
      <c r="D37" s="34">
        <v>15</v>
      </c>
      <c r="E37" s="35" t="s">
        <v>18</v>
      </c>
      <c r="F37" s="21" t="s">
        <v>64</v>
      </c>
      <c r="G37" s="38" t="s">
        <v>65</v>
      </c>
      <c r="H37" t="str">
        <f>IF(OR(ISBLANK(B37),B37=""),"",IF(B37=B36,"",INT(((SUMIF(B:B,B37,C:C)*60)+SUMIF(B:B,B37,D:D))/60)&amp;" h "&amp;TEXT(MOD((SUMIF(B:B,B37,C:C)*60)+SUMIF(B:B,B37,D:D),60),"00")&amp;" min"))</f>
        <v/>
      </c>
    </row>
    <row r="38" ht="17.18">
      <c r="A38" s="60">
        <f>IF(ISBLANK(B38),"",_xlfn.ISOWEEKNUM('Journal de travail'!$B38))</f>
        <v>40</v>
      </c>
      <c r="B38" s="28">
        <v>46293</v>
      </c>
      <c r="C38" s="29"/>
      <c r="D38" s="30">
        <v>10</v>
      </c>
      <c r="E38" s="31" t="s">
        <v>22</v>
      </c>
      <c r="F38" s="21" t="s">
        <v>66</v>
      </c>
      <c r="G38" s="37"/>
      <c r="H38" t="str">
        <f>IF(OR(ISBLANK(B38),B38=""),"",IF(B38=B37,"",INT(((SUMIF(B:B,B38,C:C)*60)+SUMIF(B:B,B38,D:D))/60)&amp;" h "&amp;TEXT(MOD((SUMIF(B:B,B38,C:C)*60)+SUMIF(B:B,B38,D:D),60),"00")&amp;" min"))</f>
        <v/>
      </c>
    </row>
    <row r="39" ht="17.18">
      <c r="A39" s="61">
        <f>IF(ISBLANK(B39),"",_xlfn.ISOWEEKNUM('Journal de travail'!$B39))</f>
        <v>40</v>
      </c>
      <c r="B39" s="32">
        <v>46293</v>
      </c>
      <c r="C39" s="33">
        <v>1</v>
      </c>
      <c r="D39" s="34">
        <v>5</v>
      </c>
      <c r="E39" s="35" t="s">
        <v>22</v>
      </c>
      <c r="F39" s="21" t="s">
        <v>67</v>
      </c>
      <c r="G39" s="38" t="s">
        <v>68</v>
      </c>
      <c r="H39" t="str">
        <f>IF(OR(ISBLANK(B39),B39=""),"",IF(B39=B38,"",INT(((SUMIF(B:B,B39,C:C)*60)+SUMIF(B:B,B39,D:D))/60)&amp;" h "&amp;TEXT(MOD((SUMIF(B:B,B39,C:C)*60)+SUMIF(B:B,B39,D:D),60),"00")&amp;" min"))</f>
        <v/>
      </c>
    </row>
    <row r="40" ht="17.18">
      <c r="A40" s="60">
        <f>IF(ISBLANK(B40),"",_xlfn.ISOWEEKNUM('Journal de travail'!$B40))</f>
        <v>40</v>
      </c>
      <c r="B40" s="28">
        <v>46293</v>
      </c>
      <c r="C40" s="29"/>
      <c r="D40" s="30">
        <v>5</v>
      </c>
      <c r="E40" s="31" t="s">
        <v>25</v>
      </c>
      <c r="F40" s="21" t="s">
        <v>69</v>
      </c>
      <c r="G40" s="37"/>
      <c r="H40" t="str">
        <f>IF(OR(ISBLANK(B40),B40=""),"",IF(B40=B39,"",INT(((SUMIF(B:B,B40,C:C)*60)+SUMIF(B:B,B40,D:D))/60)&amp;" h "&amp;TEXT(MOD((SUMIF(B:B,B40,C:C)*60)+SUMIF(B:B,B40,D:D),60),"00")&amp;" min"))</f>
        <v/>
      </c>
    </row>
    <row r="41" ht="63">
      <c r="A41" s="61">
        <f>IF(ISBLANK(B41),"",_xlfn.ISOWEEKNUM('Journal de travail'!$B41))</f>
        <v>41</v>
      </c>
      <c r="B41" s="32">
        <v>46300</v>
      </c>
      <c r="C41" s="33"/>
      <c r="D41" s="34">
        <v>5</v>
      </c>
      <c r="E41" s="35" t="s">
        <v>18</v>
      </c>
      <c r="F41" s="21" t="s">
        <v>70</v>
      </c>
      <c r="G41" s="38" t="s">
        <v>71</v>
      </c>
      <c r="H41" t="str">
        <f>IF(OR(ISBLANK(B41),B41=""),"",IF(B41=B40,"",INT(((SUMIF(B:B,B41,C:C)*60)+SUMIF(B:B,B41,D:D))/60)&amp;" h "&amp;TEXT(MOD((SUMIF(B:B,B41,C:C)*60)+SUMIF(B:B,B41,D:D),60),"00")&amp;" min"))</f>
        <v>3 h 05 min</v>
      </c>
      <c r="I41" t="s">
        <v>72</v>
      </c>
    </row>
    <row r="42" ht="48">
      <c r="A42" s="60">
        <f>IF(ISBLANK(B42),"",_xlfn.ISOWEEKNUM('Journal de travail'!$B42))</f>
        <v>41</v>
      </c>
      <c r="B42" s="28">
        <v>46300</v>
      </c>
      <c r="C42" s="29"/>
      <c r="D42" s="30">
        <v>10</v>
      </c>
      <c r="E42" s="31" t="s">
        <v>22</v>
      </c>
      <c r="F42" s="21" t="s">
        <v>32</v>
      </c>
      <c r="G42" s="37" t="s">
        <v>73</v>
      </c>
      <c r="H42" t="str">
        <f>IF(OR(ISBLANK(B42),B42=""),"",IF(B42=B41,"",INT(((SUMIF(B:B,B42,C:C)*60)+SUMIF(B:B,B42,D:D))/60)&amp;" h "&amp;TEXT(MOD((SUMIF(B:B,B42,C:C)*60)+SUMIF(B:B,B42,D:D),60),"00")&amp;" min"))</f>
        <v/>
      </c>
    </row>
    <row r="43" ht="17.18">
      <c r="A43" s="61">
        <f>IF(ISBLANK(B43),"",_xlfn.ISOWEEKNUM('Journal de travail'!$B43))</f>
        <v>41</v>
      </c>
      <c r="B43" s="32">
        <v>46300</v>
      </c>
      <c r="C43" s="33"/>
      <c r="D43" s="34">
        <v>15</v>
      </c>
      <c r="E43" s="35" t="s">
        <v>22</v>
      </c>
      <c r="F43" s="21" t="s">
        <v>74</v>
      </c>
      <c r="G43" s="38"/>
      <c r="H43" t="str">
        <f>IF(OR(ISBLANK(B43),B43=""),"",IF(B43=B42,"",INT(((SUMIF(B:B,B43,C:C)*60)+SUMIF(B:B,B43,D:D))/60)&amp;" h "&amp;TEXT(MOD((SUMIF(B:B,B43,C:C)*60)+SUMIF(B:B,B43,D:D),60),"00")&amp;" min"))</f>
        <v/>
      </c>
    </row>
    <row r="44" ht="48">
      <c r="A44" s="60">
        <f>IF(ISBLANK(B44),"",_xlfn.ISOWEEKNUM('Journal de travail'!$B44))</f>
        <v>41</v>
      </c>
      <c r="B44" s="28">
        <v>46300</v>
      </c>
      <c r="C44" s="29">
        <v>1</v>
      </c>
      <c r="D44" s="30">
        <v>10</v>
      </c>
      <c r="E44" s="31" t="s">
        <v>22</v>
      </c>
      <c r="F44" s="22" t="s">
        <v>75</v>
      </c>
      <c r="G44" s="37" t="s">
        <v>76</v>
      </c>
      <c r="H44" t="str">
        <f>IF(OR(ISBLANK(B44),B44=""),"",IF(B44=B43,"",INT(((SUMIF(B:B,B44,C:C)*60)+SUMIF(B:B,B44,D:D))/60)&amp;" h "&amp;TEXT(MOD((SUMIF(B:B,B44,C:C)*60)+SUMIF(B:B,B44,D:D),60),"00")&amp;" min"))</f>
        <v/>
      </c>
    </row>
    <row r="45" ht="17.18">
      <c r="A45" s="61">
        <f>IF(ISBLANK(B45),"",_xlfn.ISOWEEKNUM('Journal de travail'!$B45))</f>
        <v>41</v>
      </c>
      <c r="B45" s="32">
        <v>46300</v>
      </c>
      <c r="C45" s="33"/>
      <c r="D45" s="34">
        <v>30</v>
      </c>
      <c r="E45" s="35" t="s">
        <v>22</v>
      </c>
      <c r="F45" s="21" t="s">
        <v>77</v>
      </c>
      <c r="G45" s="38"/>
      <c r="H45" t="str">
        <f>IF(OR(ISBLANK(B45),B45=""),"",IF(B45=B44,"",INT(((SUMIF(B:B,B45,C:C)*60)+SUMIF(B:B,B45,D:D))/60)&amp;" h "&amp;TEXT(MOD((SUMIF(B:B,B45,C:C)*60)+SUMIF(B:B,B45,D:D),60),"00")&amp;" min"))</f>
        <v/>
      </c>
    </row>
    <row r="46" ht="17.18">
      <c r="A46" s="60">
        <f>IF(ISBLANK(B46),"",_xlfn.ISOWEEKNUM('Journal de travail'!$B46))</f>
        <v>41</v>
      </c>
      <c r="B46" s="28">
        <v>46300</v>
      </c>
      <c r="C46" s="29"/>
      <c r="D46" s="30">
        <v>25</v>
      </c>
      <c r="E46" s="31" t="s">
        <v>22</v>
      </c>
      <c r="F46" s="21" t="s">
        <v>78</v>
      </c>
      <c r="G46" s="37"/>
      <c r="H46" t="str">
        <f>IF(OR(ISBLANK(B46),B46=""),"",IF(B46=B45,"",INT(((SUMIF(B:B,B46,C:C)*60)+SUMIF(B:B,B46,D:D))/60)&amp;" h "&amp;TEXT(MOD((SUMIF(B:B,B46,C:C)*60)+SUMIF(B:B,B46,D:D),60),"00")&amp;" min"))</f>
        <v/>
      </c>
    </row>
    <row r="47" ht="17.18">
      <c r="A47" s="61">
        <f>IF(ISBLANK(B47),"",_xlfn.ISOWEEKNUM('Journal de travail'!$B47))</f>
        <v>41</v>
      </c>
      <c r="B47" s="32">
        <v>46300</v>
      </c>
      <c r="C47" s="33"/>
      <c r="D47" s="34">
        <v>20</v>
      </c>
      <c r="E47" s="35" t="s">
        <v>22</v>
      </c>
      <c r="F47" s="21" t="s">
        <v>79</v>
      </c>
      <c r="G47" s="38" t="s">
        <v>80</v>
      </c>
      <c r="H47" t="str">
        <f>IF(OR(ISBLANK(B47),B47=""),"",IF(B47=B46,"",INT(((SUMIF(B:B,B47,C:C)*60)+SUMIF(B:B,B47,D:D))/60)&amp;" h "&amp;TEXT(MOD((SUMIF(B:B,B47,C:C)*60)+SUMIF(B:B,B47,D:D),60),"00")&amp;" min"))</f>
        <v/>
      </c>
    </row>
    <row r="48" ht="17.18">
      <c r="A48" s="60">
        <f>IF(ISBLANK(B48),"",_xlfn.ISOWEEKNUM('Journal de travail'!$B48))</f>
        <v>41</v>
      </c>
      <c r="B48" s="28">
        <v>46300</v>
      </c>
      <c r="C48" s="29"/>
      <c r="D48" s="30">
        <v>10</v>
      </c>
      <c r="E48" s="31" t="s">
        <v>25</v>
      </c>
      <c r="F48" s="21" t="s">
        <v>81</v>
      </c>
      <c r="G48" s="37"/>
      <c r="H48" t="str">
        <f>IF(OR(ISBLANK(B48),B48=""),"",IF(B48=B47,"",INT(((SUMIF(B:B,B48,C:C)*60)+SUMIF(B:B,B48,D:D))/60)&amp;" h "&amp;TEXT(MOD((SUMIF(B:B,B48,C:C)*60)+SUMIF(B:B,B48,D:D),60),"00")&amp;" min"))</f>
        <v/>
      </c>
    </row>
    <row r="49" ht="17.18">
      <c r="A49" s="61">
        <f>IF(ISBLANK(B49),"",_xlfn.ISOWEEKNUM('Journal de travail'!$B49))</f>
        <v>41</v>
      </c>
      <c r="B49" s="32">
        <v>46302</v>
      </c>
      <c r="C49" s="33"/>
      <c r="D49" s="34">
        <v>15</v>
      </c>
      <c r="E49" s="35" t="s">
        <v>18</v>
      </c>
      <c r="F49" s="21" t="s">
        <v>82</v>
      </c>
      <c r="G49" s="38"/>
      <c r="H49" t="str">
        <f>IF(OR(ISBLANK(B49),B49=""),"",IF(B49=B48,"",INT(((SUMIF(B:B,B49,C:C)*60)+SUMIF(B:B,B49,D:D))/60)&amp;" h "&amp;TEXT(MOD((SUMIF(B:B,B49,C:C)*60)+SUMIF(B:B,B49,D:D),60),"00")&amp;" min"))</f>
        <v>0 h 15 min</v>
      </c>
      <c r="I49" t="s">
        <v>83</v>
      </c>
    </row>
    <row r="50" ht="17.18">
      <c r="A50" s="60">
        <f>IF(ISBLANK(B50),"",_xlfn.ISOWEEKNUM('Journal de travail'!$B50))</f>
        <v>43</v>
      </c>
      <c r="B50" s="28">
        <v>46315</v>
      </c>
      <c r="C50" s="29"/>
      <c r="D50" s="30">
        <v>35</v>
      </c>
      <c r="E50" s="31" t="s">
        <v>22</v>
      </c>
      <c r="F50" s="21" t="s">
        <v>84</v>
      </c>
      <c r="G50" s="37"/>
      <c r="H50" t="str">
        <f>IF(OR(ISBLANK(B50),B50=""),"",IF(B50=B49,"",INT(((SUMIF(B:B,B50,C:C)*60)+SUMIF(B:B,B50,D:D))/60)&amp;" h "&amp;TEXT(MOD((SUMIF(B:B,B50,C:C)*60)+SUMIF(B:B,B50,D:D),60),"00")&amp;" min"))</f>
        <v>0 h 55 min</v>
      </c>
    </row>
    <row r="51" ht="17.18">
      <c r="A51" s="61">
        <f>IF(ISBLANK(B51),"",_xlfn.ISOWEEKNUM('Journal de travail'!$B51))</f>
        <v>43</v>
      </c>
      <c r="B51" s="32">
        <v>46315</v>
      </c>
      <c r="C51" s="33"/>
      <c r="D51" s="34">
        <v>20</v>
      </c>
      <c r="E51" s="35" t="s">
        <v>22</v>
      </c>
      <c r="F51" s="21" t="s">
        <v>85</v>
      </c>
      <c r="G51" s="38"/>
      <c r="H51" t="str">
        <f>IF(OR(ISBLANK(B51),B51=""),"",IF(B51=B50,"",INT(((SUMIF(B:B,B51,C:C)*60)+SUMIF(B:B,B51,D:D))/60)&amp;" h "&amp;TEXT(MOD((SUMIF(B:B,B51,C:C)*60)+SUMIF(B:B,B51,D:D),60),"00")&amp;" min"))</f>
        <v/>
      </c>
    </row>
    <row r="52" ht="17.18">
      <c r="A52" s="60">
        <f>IF(ISBLANK(B52),"",_xlfn.ISOWEEKNUM('Journal de travail'!$B52))</f>
        <v>43</v>
      </c>
      <c r="B52" s="28">
        <v>46320</v>
      </c>
      <c r="C52" s="29"/>
      <c r="D52" s="30">
        <v>25</v>
      </c>
      <c r="E52" s="31" t="s">
        <v>22</v>
      </c>
      <c r="F52" s="21" t="s">
        <v>86</v>
      </c>
      <c r="G52" s="37"/>
      <c r="H52" t="str">
        <f>IF(OR(ISBLANK(B52),B52=""),"",IF(B52=B51,"",INT(((SUMIF(B:B,B52,C:C)*60)+SUMIF(B:B,B52,D:D))/60)&amp;" h "&amp;TEXT(MOD((SUMIF(B:B,B52,C:C)*60)+SUMIF(B:B,B52,D:D),60),"00")&amp;" min"))</f>
        <v>2 h 10 min</v>
      </c>
    </row>
    <row r="53" ht="77.25">
      <c r="A53" s="61">
        <f>IF(ISBLANK(B53),"",_xlfn.ISOWEEKNUM('Journal de travail'!$B53))</f>
        <v>43</v>
      </c>
      <c r="B53" s="28">
        <v>46320</v>
      </c>
      <c r="C53" s="33"/>
      <c r="D53" s="34">
        <v>20</v>
      </c>
      <c r="E53" s="35" t="s">
        <v>18</v>
      </c>
      <c r="F53" s="21" t="s">
        <v>87</v>
      </c>
      <c r="G53" s="38" t="s">
        <v>88</v>
      </c>
      <c r="H53" t="str">
        <f>IF(OR(ISBLANK(B53),B53=""),"",IF(B53=B52,"",INT(((SUMIF(B:B,B53,C:C)*60)+SUMIF(B:B,B53,D:D))/60)&amp;" h "&amp;TEXT(MOD((SUMIF(B:B,B53,C:C)*60)+SUMIF(B:B,B53,D:D),60),"00")&amp;" min"))</f>
        <v/>
      </c>
    </row>
    <row r="54" ht="17.18">
      <c r="A54" s="60">
        <f>IF(ISBLANK(B54),"",_xlfn.ISOWEEKNUM('Journal de travail'!$B54))</f>
        <v>43</v>
      </c>
      <c r="B54" s="28">
        <v>46320</v>
      </c>
      <c r="C54" s="29"/>
      <c r="D54" s="30">
        <v>50</v>
      </c>
      <c r="E54" s="35" t="s">
        <v>22</v>
      </c>
      <c r="F54" s="21" t="s">
        <v>89</v>
      </c>
      <c r="G54" s="37"/>
      <c r="H54" t="str">
        <f>IF(OR(ISBLANK(B54),B54=""),"",IF(B54=B53,"",INT(((SUMIF(B:B,B54,C:C)*60)+SUMIF(B:B,B54,D:D))/60)&amp;" h "&amp;TEXT(MOD((SUMIF(B:B,B54,C:C)*60)+SUMIF(B:B,B54,D:D),60),"00")&amp;" min"))</f>
        <v/>
      </c>
    </row>
    <row r="55" ht="17.18">
      <c r="A55" s="61">
        <f>IF(ISBLANK(B55),"",_xlfn.ISOWEEKNUM('Journal de travail'!$B55))</f>
        <v>43</v>
      </c>
      <c r="B55" s="28">
        <v>46320</v>
      </c>
      <c r="C55" s="33"/>
      <c r="D55" s="34">
        <v>30</v>
      </c>
      <c r="E55" s="35" t="s">
        <v>22</v>
      </c>
      <c r="F55" s="21" t="s">
        <v>90</v>
      </c>
      <c r="G55" s="38"/>
      <c r="H55" t="str">
        <f>IF(OR(ISBLANK(B55),B55=""),"",IF(B55=B54,"",INT(((SUMIF(B:B,B55,C:C)*60)+SUMIF(B:B,B55,D:D))/60)&amp;" h "&amp;TEXT(MOD((SUMIF(B:B,B55,C:C)*60)+SUMIF(B:B,B55,D:D),60),"00")&amp;" min"))</f>
        <v/>
      </c>
    </row>
    <row r="56" ht="17.18">
      <c r="A56" s="60">
        <f>IF(ISBLANK(B56),"",_xlfn.ISOWEEKNUM('Journal de travail'!$B56))</f>
        <v>43</v>
      </c>
      <c r="B56" s="28">
        <v>46320</v>
      </c>
      <c r="C56" s="29"/>
      <c r="D56" s="30">
        <v>5</v>
      </c>
      <c r="E56" s="31" t="s">
        <v>22</v>
      </c>
      <c r="F56" s="21" t="s">
        <v>91</v>
      </c>
      <c r="G56" s="37"/>
      <c r="H56" t="str">
        <f>IF(OR(ISBLANK(B56),B56=""),"",IF(B56=B55,"",INT(((SUMIF(B:B,B56,C:C)*60)+SUMIF(B:B,B56,D:D))/60)&amp;" h "&amp;TEXT(MOD((SUMIF(B:B,B56,C:C)*60)+SUMIF(B:B,B56,D:D),60),"00")&amp;" min"))</f>
        <v/>
      </c>
    </row>
    <row r="57" ht="17.18">
      <c r="A57" s="61" t="str">
        <f>IF(ISBLANK(B57),"",_xlfn.ISOWEEKNUM('Journal de travail'!$B57))</f>
        <v/>
      </c>
      <c r="B57" s="32"/>
      <c r="C57" s="33"/>
      <c r="D57" s="34"/>
      <c r="E57" s="35"/>
      <c r="F57" s="38"/>
      <c r="G57" s="38"/>
      <c r="H57" t="str">
        <f>IF(OR(ISBLANK(B57),B57=""),"",IF(B57=B56,"",INT(((SUMIF(B:B,B57,C:C)*60)+SUMIF(B:B,B57,D:D))/60)&amp;" h "&amp;TEXT(MOD((SUMIF(B:B,B57,C:C)*60)+SUMIF(B:B,B57,D:D),60),"00")&amp;" min"))</f>
        <v/>
      </c>
    </row>
    <row r="58" ht="17.18">
      <c r="A58" s="60" t="str">
        <f>IF(ISBLANK(B58),"",_xlfn.ISOWEEKNUM('Journal de travail'!$B58))</f>
        <v/>
      </c>
      <c r="B58" s="28"/>
      <c r="C58" s="29"/>
      <c r="D58" s="30"/>
      <c r="E58" s="31"/>
      <c r="F58" s="37"/>
      <c r="G58" s="37"/>
      <c r="H58" t="str">
        <f>IF(OR(ISBLANK(B58),B58=""),"",IF(B58=B57,"",INT(((SUMIF(B:B,B58,C:C)*60)+SUMIF(B:B,B58,D:D))/60)&amp;" h "&amp;TEXT(MOD((SUMIF(B:B,B58,C:C)*60)+SUMIF(B:B,B58,D:D),60),"00")&amp;" min"))</f>
        <v/>
      </c>
    </row>
    <row r="59" ht="17.18">
      <c r="A59" s="61" t="str">
        <f>IF(ISBLANK(B59),"",_xlfn.ISOWEEKNUM('Journal de travail'!$B59))</f>
        <v/>
      </c>
      <c r="B59" s="32"/>
      <c r="C59" s="33"/>
      <c r="D59" s="34"/>
      <c r="E59" s="35"/>
      <c r="F59" s="38"/>
      <c r="G59" s="38"/>
      <c r="H59" t="str">
        <f>IF(OR(ISBLANK(B59),B59=""),"",IF(B59=B58,"",INT(((SUMIF(B:B,B59,C:C)*60)+SUMIF(B:B,B59,D:D))/60)&amp;" h "&amp;TEXT(MOD((SUMIF(B:B,B59,C:C)*60)+SUMIF(B:B,B59,D:D),60),"00")&amp;" min"))</f>
        <v/>
      </c>
    </row>
    <row r="60" ht="17.18">
      <c r="A60" s="60" t="str">
        <f>IF(ISBLANK(B60),"",_xlfn.ISOWEEKNUM('Journal de travail'!$B60))</f>
        <v/>
      </c>
      <c r="B60" s="28"/>
      <c r="C60" s="29"/>
      <c r="D60" s="30"/>
      <c r="E60" s="31"/>
      <c r="F60" s="37"/>
      <c r="G60" s="37"/>
      <c r="H60" t="str">
        <f>IF(OR(ISBLANK(B60),B60=""),"",IF(B60=B59,"",INT(((SUMIF(B:B,B60,C:C)*60)+SUMIF(B:B,B60,D:D))/60)&amp;" h "&amp;TEXT(MOD((SUMIF(B:B,B60,C:C)*60)+SUMIF(B:B,B60,D:D),60),"00")&amp;" min"))</f>
        <v/>
      </c>
    </row>
    <row r="61" ht="17.18">
      <c r="A61" s="61" t="str">
        <f>IF(ISBLANK(B61),"",_xlfn.ISOWEEKNUM('Journal de travail'!$B61))</f>
        <v/>
      </c>
      <c r="B61" s="32"/>
      <c r="C61" s="33"/>
      <c r="D61" s="34"/>
      <c r="E61" s="35"/>
      <c r="F61" s="38"/>
      <c r="G61" s="38"/>
      <c r="H61" t="str">
        <f>IF(OR(ISBLANK(B61),B61=""),"",IF(B61=B60,"",INT(((SUMIF(B:B,B61,C:C)*60)+SUMIF(B:B,B61,D:D))/60)&amp;" h "&amp;TEXT(MOD((SUMIF(B:B,B61,C:C)*60)+SUMIF(B:B,B61,D:D),60),"00")&amp;" min"))</f>
        <v/>
      </c>
    </row>
    <row r="62" ht="17.18">
      <c r="A62" s="60" t="str">
        <f>IF(ISBLANK(B62),"",_xlfn.ISOWEEKNUM('Journal de travail'!$B62))</f>
        <v/>
      </c>
      <c r="B62" s="28"/>
      <c r="C62" s="29"/>
      <c r="D62" s="30"/>
      <c r="E62" s="31"/>
      <c r="F62" s="37"/>
      <c r="G62" s="37"/>
      <c r="H62" t="str">
        <f>IF(OR(ISBLANK(B62),B62=""),"",IF(B62=B61,"",INT(((SUMIF(B:B,B62,C:C)*60)+SUMIF(B:B,B62,D:D))/60)&amp;" h "&amp;TEXT(MOD((SUMIF(B:B,B62,C:C)*60)+SUMIF(B:B,B62,D:D),60),"00")&amp;" min"))</f>
        <v/>
      </c>
    </row>
    <row r="63" ht="17.18">
      <c r="A63" s="61" t="str">
        <f>IF(ISBLANK(B63),"",_xlfn.ISOWEEKNUM('Journal de travail'!$B63))</f>
        <v/>
      </c>
      <c r="B63" s="32"/>
      <c r="C63" s="33"/>
      <c r="D63" s="34"/>
      <c r="E63" s="35"/>
      <c r="F63" s="38"/>
      <c r="G63" s="38"/>
      <c r="H63" t="str">
        <f>IF(OR(ISBLANK(B63),B63=""),"",IF(B63=B62,"",INT(((SUMIF(B:B,B63,C:C)*60)+SUMIF(B:B,B63,D:D))/60)&amp;" h "&amp;TEXT(MOD((SUMIF(B:B,B63,C:C)*60)+SUMIF(B:B,B63,D:D),60),"00")&amp;" min"))</f>
        <v/>
      </c>
    </row>
    <row r="64" ht="17.18">
      <c r="A64" s="60" t="str">
        <f>IF(ISBLANK(B64),"",_xlfn.ISOWEEKNUM('Journal de travail'!$B64))</f>
        <v/>
      </c>
      <c r="B64" s="28"/>
      <c r="C64" s="29"/>
      <c r="D64" s="30"/>
      <c r="E64" s="31"/>
      <c r="F64" s="37"/>
      <c r="G64" s="37"/>
      <c r="H64" t="str">
        <f>IF(OR(ISBLANK(B64),B64=""),"",IF(B64=B63,"",INT(((SUMIF(B:B,B64,C:C)*60)+SUMIF(B:B,B64,D:D))/60)&amp;" h "&amp;TEXT(MOD((SUMIF(B:B,B64,C:C)*60)+SUMIF(B:B,B64,D:D),60),"00")&amp;" min"))</f>
        <v/>
      </c>
    </row>
    <row r="65" ht="17.18">
      <c r="A65" s="61" t="str">
        <f>IF(ISBLANK(B65),"",_xlfn.ISOWEEKNUM('Journal de travail'!$B65))</f>
        <v/>
      </c>
      <c r="B65" s="32"/>
      <c r="C65" s="33"/>
      <c r="D65" s="34"/>
      <c r="E65" s="35"/>
      <c r="F65" s="38"/>
      <c r="G65" s="38"/>
      <c r="H65" t="str">
        <f>IF(OR(ISBLANK(B65),B65=""),"",IF(B65=B64,"",INT(((SUMIF(B:B,B65,C:C)*60)+SUMIF(B:B,B65,D:D))/60)&amp;" h "&amp;TEXT(MOD((SUMIF(B:B,B65,C:C)*60)+SUMIF(B:B,B65,D:D),60),"00")&amp;" min"))</f>
        <v/>
      </c>
    </row>
    <row r="66" ht="17.18">
      <c r="A66" s="60" t="str">
        <f>IF(ISBLANK(B66),"",_xlfn.ISOWEEKNUM('Journal de travail'!$B66))</f>
        <v/>
      </c>
      <c r="B66" s="28"/>
      <c r="C66" s="29"/>
      <c r="D66" s="30"/>
      <c r="E66" s="31"/>
      <c r="F66" s="37"/>
      <c r="G66" s="37"/>
      <c r="H66" t="str">
        <f>IF(OR(ISBLANK(B66),B66=""),"",IF(B66=B65,"",INT(((SUMIF(B:B,B66,C:C)*60)+SUMIF(B:B,B66,D:D))/60)&amp;" h "&amp;TEXT(MOD((SUMIF(B:B,B66,C:C)*60)+SUMIF(B:B,B66,D:D),60),"00")&amp;" min"))</f>
        <v/>
      </c>
    </row>
    <row r="67" ht="17.18">
      <c r="A67" s="61" t="str">
        <f>IF(ISBLANK(B67),"",_xlfn.ISOWEEKNUM('Journal de travail'!$B67))</f>
        <v/>
      </c>
      <c r="B67" s="32"/>
      <c r="C67" s="33"/>
      <c r="D67" s="34"/>
      <c r="E67" s="35"/>
      <c r="F67" s="38"/>
      <c r="G67" s="38"/>
      <c r="H67" t="str">
        <f>IF(OR(ISBLANK(B67),B67=""),"",IF(B67=B66,"",INT(((SUMIF(B:B,B67,C:C)*60)+SUMIF(B:B,B67,D:D))/60)&amp;" h "&amp;TEXT(MOD((SUMIF(B:B,B67,C:C)*60)+SUMIF(B:B,B67,D:D),60),"00")&amp;" min"))</f>
        <v/>
      </c>
    </row>
    <row r="68" ht="17.18">
      <c r="A68" s="60" t="str">
        <f>IF(ISBLANK(B68),"",_xlfn.ISOWEEKNUM('Journal de travail'!$B68))</f>
        <v/>
      </c>
      <c r="B68" s="28"/>
      <c r="C68" s="29"/>
      <c r="D68" s="30"/>
      <c r="E68" s="31"/>
      <c r="F68" s="37"/>
      <c r="G68" s="37"/>
      <c r="H68" t="str">
        <f>IF(OR(ISBLANK(B68),B68=""),"",IF(B68=B67,"",INT(((SUMIF(B:B,B68,C:C)*60)+SUMIF(B:B,B68,D:D))/60)&amp;" h "&amp;TEXT(MOD((SUMIF(B:B,B68,C:C)*60)+SUMIF(B:B,B68,D:D),60),"00")&amp;" min"))</f>
        <v/>
      </c>
    </row>
    <row r="69" ht="17.18">
      <c r="A69" s="61" t="str">
        <f>IF(ISBLANK(B69),"",_xlfn.ISOWEEKNUM('Journal de travail'!$B69))</f>
        <v/>
      </c>
      <c r="B69" s="32"/>
      <c r="C69" s="33"/>
      <c r="D69" s="34"/>
      <c r="E69" s="35"/>
      <c r="F69" s="38"/>
      <c r="G69" s="38"/>
      <c r="H69" t="str">
        <f>IF(OR(ISBLANK(B69),B69=""),"",IF(B69=B68,"",INT(((SUMIF(B:B,B69,C:C)*60)+SUMIF(B:B,B69,D:D))/60)&amp;" h "&amp;TEXT(MOD((SUMIF(B:B,B69,C:C)*60)+SUMIF(B:B,B69,D:D),60),"00")&amp;" min"))</f>
        <v/>
      </c>
    </row>
    <row r="70" ht="17.18">
      <c r="A70" s="60" t="str">
        <f>IF(ISBLANK(B70),"",_xlfn.ISOWEEKNUM('Journal de travail'!$B70))</f>
        <v/>
      </c>
      <c r="B70" s="28"/>
      <c r="C70" s="29"/>
      <c r="D70" s="30"/>
      <c r="E70" s="31"/>
      <c r="F70" s="37"/>
      <c r="G70" s="37"/>
      <c r="H70" t="str">
        <f>IF(OR(ISBLANK(B70),B70=""),"",IF(B70=B69,"",INT(((SUMIF(B:B,B70,C:C)*60)+SUMIF(B:B,B70,D:D))/60)&amp;" h "&amp;TEXT(MOD((SUMIF(B:B,B70,C:C)*60)+SUMIF(B:B,B70,D:D),60),"00")&amp;" min"))</f>
        <v/>
      </c>
    </row>
    <row r="71" ht="17.18">
      <c r="A71" s="61" t="str">
        <f>IF(ISBLANK(B71),"",_xlfn.ISOWEEKNUM('Journal de travail'!$B71))</f>
        <v/>
      </c>
      <c r="B71" s="32"/>
      <c r="C71" s="33"/>
      <c r="D71" s="34"/>
      <c r="E71" s="35"/>
      <c r="F71" s="38"/>
      <c r="G71" s="38"/>
      <c r="H71" t="str">
        <f>IF(OR(ISBLANK(B71),B71=""),"",IF(B71=B70,"",INT(((SUMIF(B:B,B71,C:C)*60)+SUMIF(B:B,B71,D:D))/60)&amp;" h "&amp;TEXT(MOD((SUMIF(B:B,B71,C:C)*60)+SUMIF(B:B,B71,D:D),60),"00")&amp;" min"))</f>
        <v/>
      </c>
    </row>
    <row r="72" ht="17.18">
      <c r="A72" s="60" t="str">
        <f>IF(ISBLANK(B72),"",_xlfn.ISOWEEKNUM('Journal de travail'!$B72))</f>
        <v/>
      </c>
      <c r="B72" s="28"/>
      <c r="C72" s="29"/>
      <c r="D72" s="30"/>
      <c r="E72" s="31"/>
      <c r="F72" s="37"/>
      <c r="G72" s="37"/>
      <c r="H72" t="str">
        <f>IF(OR(ISBLANK(B72),B72=""),"",IF(B72=B71,"",INT(((SUMIF(B:B,B72,C:C)*60)+SUMIF(B:B,B72,D:D))/60)&amp;" h "&amp;TEXT(MOD((SUMIF(B:B,B72,C:C)*60)+SUMIF(B:B,B72,D:D),60),"00")&amp;" min"))</f>
        <v/>
      </c>
    </row>
    <row r="73" ht="17.18">
      <c r="A73" s="61" t="str">
        <f>IF(ISBLANK(B73),"",_xlfn.ISOWEEKNUM('Journal de travail'!$B73))</f>
        <v/>
      </c>
      <c r="B73" s="32"/>
      <c r="C73" s="33"/>
      <c r="D73" s="34"/>
      <c r="E73" s="35"/>
      <c r="F73" s="38"/>
      <c r="G73" s="38"/>
      <c r="H73" t="str">
        <f>IF(OR(ISBLANK(B73),B73=""),"",IF(B73=B72,"",INT(((SUMIF(B:B,B73,C:C)*60)+SUMIF(B:B,B73,D:D))/60)&amp;" h "&amp;TEXT(MOD((SUMIF(B:B,B73,C:C)*60)+SUMIF(B:B,B73,D:D),60),"00")&amp;" min"))</f>
        <v/>
      </c>
    </row>
    <row r="74" ht="17.18">
      <c r="A74" s="60" t="str">
        <f>IF(ISBLANK(B74),"",_xlfn.ISOWEEKNUM('Journal de travail'!$B74))</f>
        <v/>
      </c>
      <c r="B74" s="28"/>
      <c r="C74" s="29"/>
      <c r="D74" s="30"/>
      <c r="E74" s="31"/>
      <c r="F74" s="37"/>
      <c r="G74" s="37"/>
      <c r="H74" t="str">
        <f>IF(OR(ISBLANK(B74),B74=""),"",IF(B74=B73,"",INT(((SUMIF(B:B,B74,C:C)*60)+SUMIF(B:B,B74,D:D))/60)&amp;" h "&amp;TEXT(MOD((SUMIF(B:B,B74,C:C)*60)+SUMIF(B:B,B74,D:D),60),"00")&amp;" min"))</f>
        <v/>
      </c>
    </row>
    <row r="75" ht="17.18">
      <c r="A75" s="61" t="str">
        <f>IF(ISBLANK(B75),"",_xlfn.ISOWEEKNUM('Journal de travail'!$B75))</f>
        <v/>
      </c>
      <c r="B75" s="32"/>
      <c r="C75" s="33"/>
      <c r="D75" s="34"/>
      <c r="E75" s="35"/>
      <c r="F75" s="38"/>
      <c r="G75" s="38"/>
      <c r="H75" t="str">
        <f>IF(OR(ISBLANK(B75),B75=""),"",IF(B75=B74,"",INT(((SUMIF(B:B,B75,C:C)*60)+SUMIF(B:B,B75,D:D))/60)&amp;" h "&amp;TEXT(MOD((SUMIF(B:B,B75,C:C)*60)+SUMIF(B:B,B75,D:D),60),"00")&amp;" min"))</f>
        <v/>
      </c>
    </row>
    <row r="76" ht="17.18">
      <c r="A76" s="60" t="str">
        <f>IF(ISBLANK(B76),"",_xlfn.ISOWEEKNUM('Journal de travail'!$B76))</f>
        <v/>
      </c>
      <c r="B76" s="28"/>
      <c r="C76" s="29"/>
      <c r="D76" s="30"/>
      <c r="E76" s="31"/>
      <c r="F76" s="37"/>
      <c r="G76" s="37"/>
      <c r="H76" t="str">
        <f>IF(OR(ISBLANK(B76),B76=""),"",IF(B76=B75,"",INT(((SUMIF(B:B,B76,C:C)*60)+SUMIF(B:B,B76,D:D))/60)&amp;" h "&amp;TEXT(MOD((SUMIF(B:B,B76,C:C)*60)+SUMIF(B:B,B76,D:D),60),"00")&amp;" min"))</f>
        <v/>
      </c>
    </row>
    <row r="77" ht="17.18">
      <c r="A77" s="61" t="str">
        <f>IF(ISBLANK(B77),"",_xlfn.ISOWEEKNUM('Journal de travail'!$B77))</f>
        <v/>
      </c>
      <c r="B77" s="32"/>
      <c r="C77" s="33"/>
      <c r="D77" s="34"/>
      <c r="E77" s="35"/>
      <c r="F77" s="38"/>
      <c r="G77" s="38"/>
      <c r="H77" t="str">
        <f>IF(OR(ISBLANK(B77),B77=""),"",IF(B77=B76,"",INT(((SUMIF(B:B,B77,C:C)*60)+SUMIF(B:B,B77,D:D))/60)&amp;" h "&amp;TEXT(MOD((SUMIF(B:B,B77,C:C)*60)+SUMIF(B:B,B77,D:D),60),"00")&amp;" min"))</f>
        <v/>
      </c>
    </row>
    <row r="78" ht="17.18">
      <c r="A78" s="60" t="str">
        <f>IF(ISBLANK(B78),"",_xlfn.ISOWEEKNUM('Journal de travail'!$B78))</f>
        <v/>
      </c>
      <c r="B78" s="28"/>
      <c r="C78" s="29"/>
      <c r="D78" s="30"/>
      <c r="E78" s="31"/>
      <c r="F78" s="37"/>
      <c r="G78" s="37"/>
      <c r="H78" t="str">
        <f>IF(OR(ISBLANK(B78),B78=""),"",IF(B78=B77,"",INT(((SUMIF(B:B,B78,C:C)*60)+SUMIF(B:B,B78,D:D))/60)&amp;" h "&amp;TEXT(MOD((SUMIF(B:B,B78,C:C)*60)+SUMIF(B:B,B78,D:D),60),"00")&amp;" min"))</f>
        <v/>
      </c>
    </row>
    <row r="79" ht="17.18">
      <c r="A79" s="61" t="str">
        <f>IF(ISBLANK(B79),"",_xlfn.ISOWEEKNUM('Journal de travail'!$B79))</f>
        <v/>
      </c>
      <c r="B79" s="32"/>
      <c r="C79" s="33"/>
      <c r="D79" s="34"/>
      <c r="E79" s="35"/>
      <c r="F79" s="38"/>
      <c r="G79" s="38"/>
      <c r="H79" t="str">
        <f>IF(OR(ISBLANK(B79),B79=""),"",IF(B79=B78,"",INT(((SUMIF(B:B,B79,C:C)*60)+SUMIF(B:B,B79,D:D))/60)&amp;" h "&amp;TEXT(MOD((SUMIF(B:B,B79,C:C)*60)+SUMIF(B:B,B79,D:D),60),"00")&amp;" min"))</f>
        <v/>
      </c>
    </row>
    <row r="80" ht="17.18">
      <c r="A80" s="60" t="str">
        <f>IF(ISBLANK(B80),"",_xlfn.ISOWEEKNUM('Journal de travail'!$B80))</f>
        <v/>
      </c>
      <c r="B80" s="28"/>
      <c r="C80" s="29"/>
      <c r="D80" s="30"/>
      <c r="E80" s="31"/>
      <c r="F80" s="37"/>
      <c r="G80" s="37"/>
      <c r="H80" t="str">
        <f>IF(OR(ISBLANK(B80),B80=""),"",IF(B80=B79,"",INT(((SUMIF(B:B,B80,C:C)*60)+SUMIF(B:B,B80,D:D))/60)&amp;" h "&amp;TEXT(MOD((SUMIF(B:B,B80,C:C)*60)+SUMIF(B:B,B80,D:D),60),"00")&amp;" min"))</f>
        <v/>
      </c>
    </row>
    <row r="81" ht="17.18">
      <c r="A81" s="61" t="str">
        <f>IF(ISBLANK(B81),"",_xlfn.ISOWEEKNUM('Journal de travail'!$B81))</f>
        <v/>
      </c>
      <c r="B81" s="32"/>
      <c r="C81" s="33"/>
      <c r="D81" s="34"/>
      <c r="E81" s="35"/>
      <c r="F81" s="38"/>
      <c r="G81" s="38"/>
      <c r="H81" t="str">
        <f>IF(OR(ISBLANK(B81),B81=""),"",IF(B81=B80,"",INT(((SUMIF(B:B,B81,C:C)*60)+SUMIF(B:B,B81,D:D))/60)&amp;" h "&amp;TEXT(MOD((SUMIF(B:B,B81,C:C)*60)+SUMIF(B:B,B81,D:D),60),"00")&amp;" min"))</f>
        <v/>
      </c>
    </row>
    <row r="82" ht="17.18">
      <c r="A82" s="60" t="str">
        <f>IF(ISBLANK(B82),"",_xlfn.ISOWEEKNUM('Journal de travail'!$B82))</f>
        <v/>
      </c>
      <c r="B82" s="28"/>
      <c r="C82" s="29"/>
      <c r="D82" s="30"/>
      <c r="E82" s="31"/>
      <c r="F82" s="37"/>
      <c r="G82" s="37"/>
      <c r="H82" t="str">
        <f>IF(OR(ISBLANK(B82),B82=""),"",IF(B82=B81,"",INT(((SUMIF(B:B,B82,C:C)*60)+SUMIF(B:B,B82,D:D))/60)&amp;" h "&amp;TEXT(MOD((SUMIF(B:B,B82,C:C)*60)+SUMIF(B:B,B82,D:D),60),"00")&amp;" min"))</f>
        <v/>
      </c>
    </row>
    <row r="83" ht="17.18">
      <c r="A83" s="61" t="str">
        <f>IF(ISBLANK(B83),"",_xlfn.ISOWEEKNUM('Journal de travail'!$B83))</f>
        <v/>
      </c>
      <c r="B83" s="32"/>
      <c r="C83" s="33"/>
      <c r="D83" s="34"/>
      <c r="E83" s="35"/>
      <c r="F83" s="38"/>
      <c r="G83" s="38"/>
      <c r="H83" t="str">
        <f>IF(OR(ISBLANK(B83),B83=""),"",IF(B83=B82,"",INT(((SUMIF(B:B,B83,C:C)*60)+SUMIF(B:B,B83,D:D))/60)&amp;" h "&amp;TEXT(MOD((SUMIF(B:B,B83,C:C)*60)+SUMIF(B:B,B83,D:D),60),"00")&amp;" min"))</f>
        <v/>
      </c>
    </row>
    <row r="84" ht="17.18">
      <c r="A84" s="60" t="str">
        <f>IF(ISBLANK(B84),"",_xlfn.ISOWEEKNUM('Journal de travail'!$B84))</f>
        <v/>
      </c>
      <c r="B84" s="28"/>
      <c r="C84" s="29"/>
      <c r="D84" s="30"/>
      <c r="E84" s="31"/>
      <c r="F84" s="37"/>
      <c r="G84" s="37"/>
      <c r="H84" t="str">
        <f>IF(OR(ISBLANK(B84),B84=""),"",IF(B84=B83,"",INT(((SUMIF(B:B,B84,C:C)*60)+SUMIF(B:B,B84,D:D))/60)&amp;" h "&amp;TEXT(MOD((SUMIF(B:B,B84,C:C)*60)+SUMIF(B:B,B84,D:D),60),"00")&amp;" min"))</f>
        <v/>
      </c>
    </row>
    <row r="85" ht="17.18">
      <c r="A85" s="61" t="str">
        <f>IF(ISBLANK(B85),"",_xlfn.ISOWEEKNUM('Journal de travail'!$B85))</f>
        <v/>
      </c>
      <c r="B85" s="32"/>
      <c r="C85" s="33"/>
      <c r="D85" s="34"/>
      <c r="E85" s="35"/>
      <c r="F85" s="38"/>
      <c r="G85" s="38"/>
      <c r="H85" t="str">
        <f>IF(OR(ISBLANK(B85),B85=""),"",IF(B85=B84,"",INT(((SUMIF(B:B,B85,C:C)*60)+SUMIF(B:B,B85,D:D))/60)&amp;" h "&amp;TEXT(MOD((SUMIF(B:B,B85,C:C)*60)+SUMIF(B:B,B85,D:D),60),"00")&amp;" min"))</f>
        <v/>
      </c>
    </row>
    <row r="86" ht="17.18">
      <c r="A86" s="60" t="str">
        <f>IF(ISBLANK(B86),"",_xlfn.ISOWEEKNUM('Journal de travail'!$B86))</f>
        <v/>
      </c>
      <c r="B86" s="28"/>
      <c r="C86" s="29"/>
      <c r="D86" s="30"/>
      <c r="E86" s="31"/>
      <c r="F86" s="37"/>
      <c r="G86" s="37"/>
      <c r="H86" t="str">
        <f>IF(OR(ISBLANK(B86),B86=""),"",IF(B86=B85,"",INT(((SUMIF(B:B,B86,C:C)*60)+SUMIF(B:B,B86,D:D))/60)&amp;" h "&amp;TEXT(MOD((SUMIF(B:B,B86,C:C)*60)+SUMIF(B:B,B86,D:D),60),"00")&amp;" min"))</f>
        <v/>
      </c>
    </row>
    <row r="87" ht="17.18">
      <c r="A87" s="61" t="str">
        <f>IF(ISBLANK(B87),"",_xlfn.ISOWEEKNUM('Journal de travail'!$B87))</f>
        <v/>
      </c>
      <c r="B87" s="32"/>
      <c r="C87" s="33"/>
      <c r="D87" s="34"/>
      <c r="E87" s="35"/>
      <c r="F87" s="38"/>
      <c r="G87" s="38"/>
      <c r="H87" t="str">
        <f>IF(OR(ISBLANK(B87),B87=""),"",IF(B87=B86,"",INT(((SUMIF(B:B,B87,C:C)*60)+SUMIF(B:B,B87,D:D))/60)&amp;" h "&amp;TEXT(MOD((SUMIF(B:B,B87,C:C)*60)+SUMIF(B:B,B87,D:D),60),"00")&amp;" min"))</f>
        <v/>
      </c>
    </row>
    <row r="88" ht="17.18">
      <c r="A88" s="60" t="str">
        <f>IF(ISBLANK(B88),"",_xlfn.ISOWEEKNUM('Journal de travail'!$B88))</f>
        <v/>
      </c>
      <c r="B88" s="28"/>
      <c r="C88" s="29"/>
      <c r="D88" s="30"/>
      <c r="E88" s="31"/>
      <c r="F88" s="37"/>
      <c r="G88" s="37"/>
      <c r="H88" t="str">
        <f>IF(OR(ISBLANK(B88),B88=""),"",IF(B88=B87,"",INT(((SUMIF(B:B,B88,C:C)*60)+SUMIF(B:B,B88,D:D))/60)&amp;" h "&amp;TEXT(MOD((SUMIF(B:B,B88,C:C)*60)+SUMIF(B:B,B88,D:D),60),"00")&amp;" min"))</f>
        <v/>
      </c>
    </row>
    <row r="89" ht="17.18">
      <c r="A89" s="61" t="str">
        <f>IF(ISBLANK(B89),"",_xlfn.ISOWEEKNUM('Journal de travail'!$B89))</f>
        <v/>
      </c>
      <c r="B89" s="32"/>
      <c r="C89" s="33"/>
      <c r="D89" s="34"/>
      <c r="E89" s="35"/>
      <c r="F89" s="38"/>
      <c r="G89" s="38"/>
      <c r="H89" t="str">
        <f>IF(OR(ISBLANK(B89),B89=""),"",IF(B89=B88,"",INT(((SUMIF(B:B,B89,C:C)*60)+SUMIF(B:B,B89,D:D))/60)&amp;" h "&amp;TEXT(MOD((SUMIF(B:B,B89,C:C)*60)+SUMIF(B:B,B89,D:D),60),"00")&amp;" min"))</f>
        <v/>
      </c>
    </row>
    <row r="90" ht="17.18">
      <c r="A90" s="60" t="str">
        <f>IF(ISBLANK(B90),"",_xlfn.ISOWEEKNUM('Journal de travail'!$B90))</f>
        <v/>
      </c>
      <c r="B90" s="28"/>
      <c r="C90" s="29"/>
      <c r="D90" s="30"/>
      <c r="E90" s="31"/>
      <c r="F90" s="37"/>
      <c r="G90" s="37"/>
      <c r="H90" t="str">
        <f>IF(OR(ISBLANK(B90),B90=""),"",IF(B90=B89,"",INT(((SUMIF(B:B,B90,C:C)*60)+SUMIF(B:B,B90,D:D))/60)&amp;" h "&amp;TEXT(MOD((SUMIF(B:B,B90,C:C)*60)+SUMIF(B:B,B90,D:D),60),"00")&amp;" min"))</f>
        <v/>
      </c>
    </row>
    <row r="91" ht="17.18">
      <c r="A91" s="61" t="str">
        <f>IF(ISBLANK(B91),"",_xlfn.ISOWEEKNUM('Journal de travail'!$B91))</f>
        <v/>
      </c>
      <c r="B91" s="32"/>
      <c r="C91" s="33"/>
      <c r="D91" s="34"/>
      <c r="E91" s="35"/>
      <c r="F91" s="38"/>
      <c r="G91" s="38"/>
      <c r="H91" t="str">
        <f>IF(OR(ISBLANK(B91),B91=""),"",IF(B91=B90,"",INT(((SUMIF(B:B,B91,C:C)*60)+SUMIF(B:B,B91,D:D))/60)&amp;" h "&amp;TEXT(MOD((SUMIF(B:B,B91,C:C)*60)+SUMIF(B:B,B91,D:D),60),"00")&amp;" min"))</f>
        <v/>
      </c>
    </row>
    <row r="92" ht="17.18">
      <c r="A92" s="60" t="str">
        <f>IF(ISBLANK(B92),"",_xlfn.ISOWEEKNUM('Journal de travail'!$B92))</f>
        <v/>
      </c>
      <c r="B92" s="28"/>
      <c r="C92" s="29"/>
      <c r="D92" s="30"/>
      <c r="E92" s="31"/>
      <c r="F92" s="37"/>
      <c r="G92" s="37"/>
      <c r="H92" t="str">
        <f>IF(OR(ISBLANK(B92),B92=""),"",IF(B92=B91,"",INT(((SUMIF(B:B,B92,C:C)*60)+SUMIF(B:B,B92,D:D))/60)&amp;" h "&amp;TEXT(MOD((SUMIF(B:B,B92,C:C)*60)+SUMIF(B:B,B92,D:D),60),"00")&amp;" min"))</f>
        <v/>
      </c>
    </row>
    <row r="93" ht="17.18">
      <c r="A93" s="61" t="str">
        <f>IF(ISBLANK(B93),"",_xlfn.ISOWEEKNUM('Journal de travail'!$B93))</f>
        <v/>
      </c>
      <c r="B93" s="32"/>
      <c r="C93" s="33"/>
      <c r="D93" s="34"/>
      <c r="E93" s="35"/>
      <c r="F93" s="38"/>
      <c r="G93" s="38"/>
      <c r="H93" t="str">
        <f>IF(OR(ISBLANK(B93),B93=""),"",IF(B93=B92,"",INT(((SUMIF(B:B,B93,C:C)*60)+SUMIF(B:B,B93,D:D))/60)&amp;" h "&amp;TEXT(MOD((SUMIF(B:B,B93,C:C)*60)+SUMIF(B:B,B93,D:D),60),"00")&amp;" min"))</f>
        <v/>
      </c>
    </row>
    <row r="94" ht="17.18">
      <c r="A94" s="60" t="str">
        <f>IF(ISBLANK(B94),"",_xlfn.ISOWEEKNUM('Journal de travail'!$B94))</f>
        <v/>
      </c>
      <c r="B94" s="28"/>
      <c r="C94" s="29"/>
      <c r="D94" s="30"/>
      <c r="E94" s="31"/>
      <c r="F94" s="37"/>
      <c r="G94" s="37"/>
      <c r="H94" t="str">
        <f>IF(OR(ISBLANK(B94),B94=""),"",IF(B94=B93,"",INT(((SUMIF(B:B,B94,C:C)*60)+SUMIF(B:B,B94,D:D))/60)&amp;" h "&amp;TEXT(MOD((SUMIF(B:B,B94,C:C)*60)+SUMIF(B:B,B94,D:D),60),"00")&amp;" min"))</f>
        <v/>
      </c>
    </row>
    <row r="95" ht="17.18">
      <c r="A95" s="61" t="str">
        <f>IF(ISBLANK(B95),"",_xlfn.ISOWEEKNUM('Journal de travail'!$B95))</f>
        <v/>
      </c>
      <c r="B95" s="32"/>
      <c r="C95" s="33"/>
      <c r="D95" s="34"/>
      <c r="E95" s="35"/>
      <c r="F95" s="38"/>
      <c r="G95" s="38"/>
      <c r="H95" t="str">
        <f>IF(OR(ISBLANK(B95),B95=""),"",IF(B95=B94,"",INT(((SUMIF(B:B,B95,C:C)*60)+SUMIF(B:B,B95,D:D))/60)&amp;" h "&amp;TEXT(MOD((SUMIF(B:B,B95,C:C)*60)+SUMIF(B:B,B95,D:D),60),"00")&amp;" min"))</f>
        <v/>
      </c>
    </row>
    <row r="96" ht="17.18">
      <c r="A96" s="60" t="str">
        <f>IF(ISBLANK(B96),"",_xlfn.ISOWEEKNUM('Journal de travail'!$B96))</f>
        <v/>
      </c>
      <c r="B96" s="28"/>
      <c r="C96" s="29"/>
      <c r="D96" s="30"/>
      <c r="E96" s="31"/>
      <c r="F96" s="37"/>
      <c r="G96" s="37"/>
      <c r="H96" t="str">
        <f>IF(OR(ISBLANK(B96),B96=""),"",IF(B96=B95,"",INT(((SUMIF(B:B,B96,C:C)*60)+SUMIF(B:B,B96,D:D))/60)&amp;" h "&amp;TEXT(MOD((SUMIF(B:B,B96,C:C)*60)+SUMIF(B:B,B96,D:D),60),"00")&amp;" min"))</f>
        <v/>
      </c>
    </row>
    <row r="97" ht="17.18">
      <c r="A97" s="61" t="str">
        <f>IF(ISBLANK(B97),"",_xlfn.ISOWEEKNUM('Journal de travail'!$B97))</f>
        <v/>
      </c>
      <c r="B97" s="32"/>
      <c r="C97" s="33"/>
      <c r="D97" s="34"/>
      <c r="E97" s="35"/>
      <c r="F97" s="38"/>
      <c r="G97" s="38"/>
      <c r="H97" t="str">
        <f>IF(OR(ISBLANK(B97),B97=""),"",IF(B97=B96,"",INT(((SUMIF(B:B,B97,C:C)*60)+SUMIF(B:B,B97,D:D))/60)&amp;" h "&amp;TEXT(MOD((SUMIF(B:B,B97,C:C)*60)+SUMIF(B:B,B97,D:D),60),"00")&amp;" min"))</f>
        <v/>
      </c>
    </row>
    <row r="98" ht="17.18">
      <c r="A98" s="60" t="str">
        <f>IF(ISBLANK(B98),"",_xlfn.ISOWEEKNUM('Journal de travail'!$B98))</f>
        <v/>
      </c>
      <c r="B98" s="28"/>
      <c r="C98" s="29"/>
      <c r="D98" s="30"/>
      <c r="E98" s="31"/>
      <c r="F98" s="37"/>
      <c r="G98" s="37"/>
      <c r="H98" t="str">
        <f>IF(OR(ISBLANK(B98),B98=""),"",IF(B98=B97,"",INT(((SUMIF(B:B,B98,C:C)*60)+SUMIF(B:B,B98,D:D))/60)&amp;" h "&amp;TEXT(MOD((SUMIF(B:B,B98,C:C)*60)+SUMIF(B:B,B98,D:D),60),"00")&amp;" min"))</f>
        <v/>
      </c>
    </row>
    <row r="99" ht="17.18">
      <c r="A99" s="61" t="str">
        <f>IF(ISBLANK(B99),"",_xlfn.ISOWEEKNUM('Journal de travail'!$B99))</f>
        <v/>
      </c>
      <c r="B99" s="32"/>
      <c r="C99" s="33"/>
      <c r="D99" s="34"/>
      <c r="E99" s="35"/>
      <c r="F99" s="38"/>
      <c r="G99" s="38"/>
      <c r="H99" t="str">
        <f>IF(OR(ISBLANK(B99),B99=""),"",IF(B99=B98,"",INT(((SUMIF(B:B,B99,C:C)*60)+SUMIF(B:B,B99,D:D))/60)&amp;" h "&amp;TEXT(MOD((SUMIF(B:B,B99,C:C)*60)+SUMIF(B:B,B99,D:D),60),"00")&amp;" min"))</f>
        <v/>
      </c>
    </row>
    <row r="100" ht="17.18">
      <c r="A100" s="60" t="str">
        <f>IF(ISBLANK(B100),"",_xlfn.ISOWEEKNUM('Journal de travail'!$B100))</f>
        <v/>
      </c>
      <c r="B100" s="28"/>
      <c r="C100" s="29"/>
      <c r="D100" s="30"/>
      <c r="E100" s="31"/>
      <c r="F100" s="37"/>
      <c r="G100" s="37"/>
      <c r="H100" t="str">
        <f>IF(OR(ISBLANK(B100),B100=""),"",IF(B100=B99,"",INT(((SUMIF(B:B,B100,C:C)*60)+SUMIF(B:B,B100,D:D))/60)&amp;" h "&amp;TEXT(MOD((SUMIF(B:B,B100,C:C)*60)+SUMIF(B:B,B100,D:D),60),"00")&amp;" min"))</f>
        <v/>
      </c>
    </row>
    <row r="101" ht="17.18">
      <c r="A101" s="61" t="str">
        <f>IF(ISBLANK(B101),"",_xlfn.ISOWEEKNUM('Journal de travail'!$B101))</f>
        <v/>
      </c>
      <c r="B101" s="32"/>
      <c r="C101" s="33"/>
      <c r="D101" s="34"/>
      <c r="E101" s="35"/>
      <c r="F101" s="38"/>
      <c r="G101" s="38"/>
      <c r="H101" t="str">
        <f>IF(OR(ISBLANK(B101),B101=""),"",IF(B101=B100,"",INT(((SUMIF(B:B,B101,C:C)*60)+SUMIF(B:B,B101,D:D))/60)&amp;" h "&amp;TEXT(MOD((SUMIF(B:B,B101,C:C)*60)+SUMIF(B:B,B101,D:D),60),"00")&amp;" min"))</f>
        <v/>
      </c>
    </row>
    <row r="102" ht="17.18">
      <c r="A102" s="60" t="str">
        <f>IF(ISBLANK(B102),"",_xlfn.ISOWEEKNUM('Journal de travail'!$B102))</f>
        <v/>
      </c>
      <c r="B102" s="28"/>
      <c r="C102" s="29"/>
      <c r="D102" s="30"/>
      <c r="E102" s="31"/>
      <c r="F102" s="37"/>
      <c r="G102" s="37"/>
      <c r="H102" t="str">
        <f>IF(OR(ISBLANK(B102),B102=""),"",IF(B102=B101,"",INT(((SUMIF(B:B,B102,C:C)*60)+SUMIF(B:B,B102,D:D))/60)&amp;" h "&amp;TEXT(MOD((SUMIF(B:B,B102,C:C)*60)+SUMIF(B:B,B102,D:D),60),"00")&amp;" min"))</f>
        <v/>
      </c>
    </row>
    <row r="103" ht="17.18">
      <c r="A103" s="61" t="str">
        <f>IF(ISBLANK(B103),"",_xlfn.ISOWEEKNUM('Journal de travail'!$B103))</f>
        <v/>
      </c>
      <c r="B103" s="32"/>
      <c r="C103" s="33"/>
      <c r="D103" s="34"/>
      <c r="E103" s="35"/>
      <c r="F103" s="38"/>
      <c r="G103" s="38"/>
      <c r="H103" t="str">
        <f>IF(OR(ISBLANK(B103),B103=""),"",IF(B103=B102,"",INT(((SUMIF(B:B,B103,C:C)*60)+SUMIF(B:B,B103,D:D))/60)&amp;" h "&amp;TEXT(MOD((SUMIF(B:B,B103,C:C)*60)+SUMIF(B:B,B103,D:D),60),"00")&amp;" min"))</f>
        <v/>
      </c>
    </row>
    <row r="104" ht="17.18">
      <c r="A104" s="60" t="str">
        <f>IF(ISBLANK(B104),"",_xlfn.ISOWEEKNUM('Journal de travail'!$B104))</f>
        <v/>
      </c>
      <c r="B104" s="28"/>
      <c r="C104" s="29"/>
      <c r="D104" s="30"/>
      <c r="E104" s="31"/>
      <c r="F104" s="37"/>
      <c r="G104" s="37"/>
      <c r="H104" t="str">
        <f>IF(OR(ISBLANK(B104),B104=""),"",IF(B104=B103,"",INT(((SUMIF(B:B,B104,C:C)*60)+SUMIF(B:B,B104,D:D))/60)&amp;" h "&amp;TEXT(MOD((SUMIF(B:B,B104,C:C)*60)+SUMIF(B:B,B104,D:D),60),"00")&amp;" min"))</f>
        <v/>
      </c>
    </row>
    <row r="105" ht="17.18">
      <c r="A105" s="61" t="str">
        <f>IF(ISBLANK(B105),"",_xlfn.ISOWEEKNUM('Journal de travail'!$B105))</f>
        <v/>
      </c>
      <c r="B105" s="32"/>
      <c r="C105" s="33"/>
      <c r="D105" s="34"/>
      <c r="E105" s="35"/>
      <c r="F105" s="38"/>
      <c r="G105" s="38"/>
      <c r="H105" t="str">
        <f>IF(OR(ISBLANK(B105),B105=""),"",IF(B105=B104,"",INT(((SUMIF(B:B,B105,C:C)*60)+SUMIF(B:B,B105,D:D))/60)&amp;" h "&amp;TEXT(MOD((SUMIF(B:B,B105,C:C)*60)+SUMIF(B:B,B105,D:D),60),"00")&amp;" min"))</f>
        <v/>
      </c>
    </row>
    <row r="106" ht="17.18">
      <c r="A106" s="60" t="str">
        <f>IF(ISBLANK(B106),"",_xlfn.ISOWEEKNUM('Journal de travail'!$B106))</f>
        <v/>
      </c>
      <c r="B106" s="28"/>
      <c r="C106" s="29"/>
      <c r="D106" s="30"/>
      <c r="E106" s="31"/>
      <c r="F106" s="37"/>
      <c r="G106" s="37"/>
      <c r="H106" t="str">
        <f>IF(OR(ISBLANK(B106),B106=""),"",IF(B106=B105,"",INT(((SUMIF(B:B,B106,C:C)*60)+SUMIF(B:B,B106,D:D))/60)&amp;" h "&amp;TEXT(MOD((SUMIF(B:B,B106,C:C)*60)+SUMIF(B:B,B106,D:D),60),"00")&amp;" min"))</f>
        <v/>
      </c>
    </row>
    <row r="107" ht="17.18">
      <c r="A107" s="61" t="str">
        <f>IF(ISBLANK(B107),"",_xlfn.ISOWEEKNUM('Journal de travail'!$B107))</f>
        <v/>
      </c>
      <c r="B107" s="32"/>
      <c r="C107" s="33"/>
      <c r="D107" s="34"/>
      <c r="E107" s="35"/>
      <c r="F107" s="38"/>
      <c r="G107" s="38"/>
      <c r="H107" t="str">
        <f>IF(OR(ISBLANK(B107),B107=""),"",IF(B107=B106,"",INT(((SUMIF(B:B,B107,C:C)*60)+SUMIF(B:B,B107,D:D))/60)&amp;" h "&amp;TEXT(MOD((SUMIF(B:B,B107,C:C)*60)+SUMIF(B:B,B107,D:D),60),"00")&amp;" min"))</f>
        <v/>
      </c>
    </row>
    <row r="108" ht="17.18">
      <c r="A108" s="60" t="str">
        <f>IF(ISBLANK(B108),"",_xlfn.ISOWEEKNUM('Journal de travail'!$B108))</f>
        <v/>
      </c>
      <c r="B108" s="28"/>
      <c r="C108" s="29"/>
      <c r="D108" s="30"/>
      <c r="E108" s="31"/>
      <c r="F108" s="37"/>
      <c r="G108" s="37"/>
      <c r="H108" t="str">
        <f>IF(OR(ISBLANK(B108),B108=""),"",IF(B108=B107,"",INT(((SUMIF(B:B,B108,C:C)*60)+SUMIF(B:B,B108,D:D))/60)&amp;" h "&amp;TEXT(MOD((SUMIF(B:B,B108,C:C)*60)+SUMIF(B:B,B108,D:D),60),"00")&amp;" min"))</f>
        <v/>
      </c>
    </row>
    <row r="109" ht="17.18">
      <c r="A109" s="61" t="str">
        <f>IF(ISBLANK(B109),"",_xlfn.ISOWEEKNUM('Journal de travail'!$B109))</f>
        <v/>
      </c>
      <c r="B109" s="32"/>
      <c r="C109" s="33"/>
      <c r="D109" s="34"/>
      <c r="E109" s="35"/>
      <c r="F109" s="38"/>
      <c r="G109" s="38"/>
      <c r="H109" t="str">
        <f>IF(OR(ISBLANK(B109),B109=""),"",IF(B109=B108,"",INT(((SUMIF(B:B,B109,C:C)*60)+SUMIF(B:B,B109,D:D))/60)&amp;" h "&amp;TEXT(MOD((SUMIF(B:B,B109,C:C)*60)+SUMIF(B:B,B109,D:D),60),"00")&amp;" min"))</f>
        <v/>
      </c>
    </row>
    <row r="110" ht="17.18">
      <c r="A110" s="60" t="str">
        <f>IF(ISBLANK(B110),"",_xlfn.ISOWEEKNUM('Journal de travail'!$B110))</f>
        <v/>
      </c>
      <c r="B110" s="28"/>
      <c r="C110" s="29"/>
      <c r="D110" s="30"/>
      <c r="E110" s="31"/>
      <c r="F110" s="37"/>
      <c r="G110" s="37"/>
      <c r="H110" t="str">
        <f>IF(OR(ISBLANK(B110),B110=""),"",IF(B110=B109,"",INT(((SUMIF(B:B,B110,C:C)*60)+SUMIF(B:B,B110,D:D))/60)&amp;" h "&amp;TEXT(MOD((SUMIF(B:B,B110,C:C)*60)+SUMIF(B:B,B110,D:D),60),"00")&amp;" min"))</f>
        <v/>
      </c>
    </row>
    <row r="111" ht="17.18">
      <c r="A111" s="61" t="str">
        <f>IF(ISBLANK(B111),"",_xlfn.ISOWEEKNUM('Journal de travail'!$B111))</f>
        <v/>
      </c>
      <c r="B111" s="32"/>
      <c r="C111" s="33"/>
      <c r="D111" s="34"/>
      <c r="E111" s="35"/>
      <c r="F111" s="38"/>
      <c r="G111" s="38"/>
      <c r="H111" t="str">
        <f>IF(OR(ISBLANK(B111),B111=""),"",IF(B111=B110,"",INT(((SUMIF(B:B,B111,C:C)*60)+SUMIF(B:B,B111,D:D))/60)&amp;" h "&amp;TEXT(MOD((SUMIF(B:B,B111,C:C)*60)+SUMIF(B:B,B111,D:D),60),"00")&amp;" min"))</f>
        <v/>
      </c>
    </row>
    <row r="112" ht="17.18">
      <c r="A112" s="60" t="str">
        <f>IF(ISBLANK(B112),"",_xlfn.ISOWEEKNUM('Journal de travail'!$B112))</f>
        <v/>
      </c>
      <c r="B112" s="28"/>
      <c r="C112" s="29"/>
      <c r="D112" s="30"/>
      <c r="E112" s="31"/>
      <c r="F112" s="37"/>
      <c r="G112" s="37"/>
      <c r="H112" t="str">
        <f>IF(OR(ISBLANK(B112),B112=""),"",IF(B112=B111,"",INT(((SUMIF(B:B,B112,C:C)*60)+SUMIF(B:B,B112,D:D))/60)&amp;" h "&amp;TEXT(MOD((SUMIF(B:B,B112,C:C)*60)+SUMIF(B:B,B112,D:D),60),"00")&amp;" min"))</f>
        <v/>
      </c>
    </row>
    <row r="113" ht="17.18">
      <c r="A113" s="61" t="str">
        <f>IF(ISBLANK(B113),"",_xlfn.ISOWEEKNUM('Journal de travail'!$B113))</f>
        <v/>
      </c>
      <c r="B113" s="32"/>
      <c r="C113" s="33"/>
      <c r="D113" s="34"/>
      <c r="E113" s="35"/>
      <c r="F113" s="38"/>
      <c r="G113" s="38"/>
      <c r="H113" t="str">
        <f>IF(OR(ISBLANK(B113),B113=""),"",IF(B113=B112,"",INT(((SUMIF(B:B,B113,C:C)*60)+SUMIF(B:B,B113,D:D))/60)&amp;" h "&amp;TEXT(MOD((SUMIF(B:B,B113,C:C)*60)+SUMIF(B:B,B113,D:D),60),"00")&amp;" min"))</f>
        <v/>
      </c>
    </row>
    <row r="114" ht="17.18">
      <c r="A114" s="60" t="str">
        <f>IF(ISBLANK(B114),"",_xlfn.ISOWEEKNUM('Journal de travail'!$B114))</f>
        <v/>
      </c>
      <c r="B114" s="28"/>
      <c r="C114" s="29"/>
      <c r="D114" s="30"/>
      <c r="E114" s="31"/>
      <c r="F114" s="37"/>
      <c r="G114" s="37"/>
      <c r="H114" t="str">
        <f>IF(OR(ISBLANK(B114),B114=""),"",IF(B114=B113,"",INT(((SUMIF(B:B,B114,C:C)*60)+SUMIF(B:B,B114,D:D))/60)&amp;" h "&amp;TEXT(MOD((SUMIF(B:B,B114,C:C)*60)+SUMIF(B:B,B114,D:D),60),"00")&amp;" min"))</f>
        <v/>
      </c>
    </row>
    <row r="115" ht="17.18">
      <c r="A115" s="61" t="str">
        <f>IF(ISBLANK(B115),"",_xlfn.ISOWEEKNUM('Journal de travail'!$B115))</f>
        <v/>
      </c>
      <c r="B115" s="32"/>
      <c r="C115" s="33"/>
      <c r="D115" s="34"/>
      <c r="E115" s="35"/>
      <c r="F115" s="38"/>
      <c r="G115" s="38"/>
      <c r="H115" t="str">
        <f>IF(OR(ISBLANK(B115),B115=""),"",IF(B115=B114,"",INT(((SUMIF(B:B,B115,C:C)*60)+SUMIF(B:B,B115,D:D))/60)&amp;" h "&amp;TEXT(MOD((SUMIF(B:B,B115,C:C)*60)+SUMIF(B:B,B115,D:D),60),"00")&amp;" min"))</f>
        <v/>
      </c>
    </row>
    <row r="116" ht="17.18">
      <c r="A116" s="60" t="str">
        <f>IF(ISBLANK(B116),"",_xlfn.ISOWEEKNUM('Journal de travail'!$B116))</f>
        <v/>
      </c>
      <c r="B116" s="28"/>
      <c r="C116" s="29"/>
      <c r="D116" s="30"/>
      <c r="E116" s="31"/>
      <c r="F116" s="37"/>
      <c r="G116" s="37"/>
      <c r="H116" t="str">
        <f>IF(OR(ISBLANK(B116),B116=""),"",IF(B116=B115,"",INT(((SUMIF(B:B,B116,C:C)*60)+SUMIF(B:B,B116,D:D))/60)&amp;" h "&amp;TEXT(MOD((SUMIF(B:B,B116,C:C)*60)+SUMIF(B:B,B116,D:D),60),"00")&amp;" min"))</f>
        <v/>
      </c>
    </row>
    <row r="117" ht="17.18">
      <c r="A117" s="61" t="str">
        <f>IF(ISBLANK(B117),"",_xlfn.ISOWEEKNUM('Journal de travail'!$B117))</f>
        <v/>
      </c>
      <c r="B117" s="32"/>
      <c r="C117" s="33"/>
      <c r="D117" s="34"/>
      <c r="E117" s="35"/>
      <c r="F117" s="38"/>
      <c r="G117" s="38"/>
      <c r="H117" t="str">
        <f>IF(OR(ISBLANK(B117),B117=""),"",IF(B117=B116,"",INT(((SUMIF(B:B,B117,C:C)*60)+SUMIF(B:B,B117,D:D))/60)&amp;" h "&amp;TEXT(MOD((SUMIF(B:B,B117,C:C)*60)+SUMIF(B:B,B117,D:D),60),"00")&amp;" min"))</f>
        <v/>
      </c>
    </row>
    <row r="118" ht="17.18">
      <c r="A118" s="60" t="str">
        <f>IF(ISBLANK(B118),"",_xlfn.ISOWEEKNUM('Journal de travail'!$B118))</f>
        <v/>
      </c>
      <c r="B118" s="28"/>
      <c r="C118" s="29"/>
      <c r="D118" s="30"/>
      <c r="E118" s="31"/>
      <c r="F118" s="37"/>
      <c r="G118" s="37"/>
      <c r="H118" t="str">
        <f>IF(OR(ISBLANK(B118),B118=""),"",IF(B118=B117,"",INT(((SUMIF(B:B,B118,C:C)*60)+SUMIF(B:B,B118,D:D))/60)&amp;" h "&amp;TEXT(MOD((SUMIF(B:B,B118,C:C)*60)+SUMIF(B:B,B118,D:D),60),"00")&amp;" min"))</f>
        <v/>
      </c>
    </row>
    <row r="119" ht="17.18">
      <c r="A119" s="61" t="str">
        <f>IF(ISBLANK(B119),"",_xlfn.ISOWEEKNUM('Journal de travail'!$B119))</f>
        <v/>
      </c>
      <c r="B119" s="32"/>
      <c r="C119" s="33"/>
      <c r="D119" s="34"/>
      <c r="E119" s="35"/>
      <c r="F119" s="38"/>
      <c r="G119" s="38"/>
      <c r="H119" t="str">
        <f>IF(OR(ISBLANK(B119),B119=""),"",IF(B119=B118,"",INT(((SUMIF(B:B,B119,C:C)*60)+SUMIF(B:B,B119,D:D))/60)&amp;" h "&amp;TEXT(MOD((SUMIF(B:B,B119,C:C)*60)+SUMIF(B:B,B119,D:D),60),"00")&amp;" min"))</f>
        <v/>
      </c>
    </row>
    <row r="120" ht="17.18">
      <c r="A120" s="60" t="str">
        <f>IF(ISBLANK(B120),"",_xlfn.ISOWEEKNUM('Journal de travail'!$B120))</f>
        <v/>
      </c>
      <c r="B120" s="28"/>
      <c r="C120" s="29"/>
      <c r="D120" s="30"/>
      <c r="E120" s="31"/>
      <c r="F120" s="37"/>
      <c r="G120" s="37"/>
      <c r="H120" t="str">
        <f>IF(OR(ISBLANK(B120),B120=""),"",IF(B120=B119,"",INT(((SUMIF(B:B,B120,C:C)*60)+SUMIF(B:B,B120,D:D))/60)&amp;" h "&amp;TEXT(MOD((SUMIF(B:B,B120,C:C)*60)+SUMIF(B:B,B120,D:D),60),"00")&amp;" min"))</f>
        <v/>
      </c>
    </row>
    <row r="121" ht="17.18">
      <c r="A121" s="61" t="str">
        <f>IF(ISBLANK(B121),"",_xlfn.ISOWEEKNUM('Journal de travail'!$B121))</f>
        <v/>
      </c>
      <c r="B121" s="32"/>
      <c r="C121" s="33"/>
      <c r="D121" s="34"/>
      <c r="E121" s="35"/>
      <c r="F121" s="38"/>
      <c r="G121" s="38"/>
      <c r="H121" t="str">
        <f>IF(OR(ISBLANK(B121),B121=""),"",IF(B121=B120,"",INT(((SUMIF(B:B,B121,C:C)*60)+SUMIF(B:B,B121,D:D))/60)&amp;" h "&amp;TEXT(MOD((SUMIF(B:B,B121,C:C)*60)+SUMIF(B:B,B121,D:D),60),"00")&amp;" min"))</f>
        <v/>
      </c>
    </row>
    <row r="122" ht="17.18">
      <c r="A122" s="60" t="str">
        <f>IF(ISBLANK(B122),"",_xlfn.ISOWEEKNUM('Journal de travail'!$B122))</f>
        <v/>
      </c>
      <c r="B122" s="28"/>
      <c r="C122" s="29"/>
      <c r="D122" s="30"/>
      <c r="E122" s="31"/>
      <c r="F122" s="37"/>
      <c r="G122" s="37"/>
      <c r="H122" t="str">
        <f>IF(OR(ISBLANK(B122),B122=""),"",IF(B122=B121,"",INT(((SUMIF(B:B,B122,C:C)*60)+SUMIF(B:B,B122,D:D))/60)&amp;" h "&amp;TEXT(MOD((SUMIF(B:B,B122,C:C)*60)+SUMIF(B:B,B122,D:D),60),"00")&amp;" min"))</f>
        <v/>
      </c>
    </row>
    <row r="123" ht="17.18">
      <c r="A123" s="61" t="str">
        <f>IF(ISBLANK(B123),"",_xlfn.ISOWEEKNUM('Journal de travail'!$B123))</f>
        <v/>
      </c>
      <c r="B123" s="32"/>
      <c r="C123" s="33"/>
      <c r="D123" s="34"/>
      <c r="E123" s="35"/>
      <c r="F123" s="38"/>
      <c r="G123" s="38"/>
      <c r="H123" t="str">
        <f>IF(OR(ISBLANK(B123),B123=""),"",IF(B123=B122,"",INT(((SUMIF(B:B,B123,C:C)*60)+SUMIF(B:B,B123,D:D))/60)&amp;" h "&amp;TEXT(MOD((SUMIF(B:B,B123,C:C)*60)+SUMIF(B:B,B123,D:D),60),"00")&amp;" min"))</f>
        <v/>
      </c>
    </row>
    <row r="124" ht="17.18">
      <c r="A124" s="60" t="str">
        <f>IF(ISBLANK(B124),"",_xlfn.ISOWEEKNUM('Journal de travail'!$B124))</f>
        <v/>
      </c>
      <c r="B124" s="28"/>
      <c r="C124" s="29"/>
      <c r="D124" s="30"/>
      <c r="E124" s="31"/>
      <c r="F124" s="37"/>
      <c r="G124" s="37"/>
      <c r="H124" t="str">
        <f>IF(OR(ISBLANK(B124),B124=""),"",IF(B124=B123,"",INT(((SUMIF(B:B,B124,C:C)*60)+SUMIF(B:B,B124,D:D))/60)&amp;" h "&amp;TEXT(MOD((SUMIF(B:B,B124,C:C)*60)+SUMIF(B:B,B124,D:D),60),"00")&amp;" min"))</f>
        <v/>
      </c>
    </row>
    <row r="125" ht="17.18">
      <c r="A125" s="61" t="str">
        <f>IF(ISBLANK(B125),"",_xlfn.ISOWEEKNUM('Journal de travail'!$B125))</f>
        <v/>
      </c>
      <c r="B125" s="32"/>
      <c r="C125" s="33"/>
      <c r="D125" s="34"/>
      <c r="E125" s="35"/>
      <c r="F125" s="38"/>
      <c r="G125" s="38"/>
      <c r="H125" t="str">
        <f>IF(OR(ISBLANK(B125),B125=""),"",IF(B125=B124,"",INT(((SUMIF(B:B,B125,C:C)*60)+SUMIF(B:B,B125,D:D))/60)&amp;" h "&amp;TEXT(MOD((SUMIF(B:B,B125,C:C)*60)+SUMIF(B:B,B125,D:D),60),"00")&amp;" min"))</f>
        <v/>
      </c>
    </row>
    <row r="126" ht="17.18">
      <c r="A126" s="60" t="str">
        <f>IF(ISBLANK(B126),"",_xlfn.ISOWEEKNUM('Journal de travail'!$B126))</f>
        <v/>
      </c>
      <c r="B126" s="28"/>
      <c r="C126" s="29"/>
      <c r="D126" s="30"/>
      <c r="E126" s="31"/>
      <c r="F126" s="37"/>
      <c r="G126" s="37"/>
      <c r="H126" t="str">
        <f>IF(OR(ISBLANK(B126),B126=""),"",IF(B126=B125,"",INT(((SUMIF(B:B,B126,C:C)*60)+SUMIF(B:B,B126,D:D))/60)&amp;" h "&amp;TEXT(MOD((SUMIF(B:B,B126,C:C)*60)+SUMIF(B:B,B126,D:D),60),"00")&amp;" min"))</f>
        <v/>
      </c>
    </row>
    <row r="127" ht="17.18">
      <c r="A127" s="61" t="str">
        <f>IF(ISBLANK(B127),"",_xlfn.ISOWEEKNUM('Journal de travail'!$B127))</f>
        <v/>
      </c>
      <c r="B127" s="32"/>
      <c r="C127" s="33"/>
      <c r="D127" s="34"/>
      <c r="E127" s="35"/>
      <c r="F127" s="38"/>
      <c r="G127" s="38"/>
      <c r="H127" t="str">
        <f>IF(OR(ISBLANK(B127),B127=""),"",IF(B127=B126,"",INT(((SUMIF(B:B,B127,C:C)*60)+SUMIF(B:B,B127,D:D))/60)&amp;" h "&amp;TEXT(MOD((SUMIF(B:B,B127,C:C)*60)+SUMIF(B:B,B127,D:D),60),"00")&amp;" min"))</f>
        <v/>
      </c>
    </row>
    <row r="128" ht="17.18">
      <c r="A128" s="60" t="str">
        <f>IF(ISBLANK(B128),"",_xlfn.ISOWEEKNUM('Journal de travail'!$B128))</f>
        <v/>
      </c>
      <c r="B128" s="28"/>
      <c r="C128" s="29"/>
      <c r="D128" s="30"/>
      <c r="E128" s="31"/>
      <c r="F128" s="37"/>
      <c r="G128" s="37"/>
      <c r="H128" t="str">
        <f>IF(OR(ISBLANK(B128),B128=""),"",IF(B128=B127,"",INT(((SUMIF(B:B,B128,C:C)*60)+SUMIF(B:B,B128,D:D))/60)&amp;" h "&amp;TEXT(MOD((SUMIF(B:B,B128,C:C)*60)+SUMIF(B:B,B128,D:D),60),"00")&amp;" min"))</f>
        <v/>
      </c>
    </row>
    <row r="129" ht="17.18">
      <c r="A129" s="61" t="str">
        <f>IF(ISBLANK(B129),"",_xlfn.ISOWEEKNUM('Journal de travail'!$B129))</f>
        <v/>
      </c>
      <c r="B129" s="32"/>
      <c r="C129" s="33"/>
      <c r="D129" s="34"/>
      <c r="E129" s="35"/>
      <c r="F129" s="38"/>
      <c r="G129" s="38"/>
      <c r="H129" t="str">
        <f>IF(OR(ISBLANK(B129),B129=""),"",IF(B129=B128,"",INT(((SUMIF(B:B,B129,C:C)*60)+SUMIF(B:B,B129,D:D))/60)&amp;" h "&amp;TEXT(MOD((SUMIF(B:B,B129,C:C)*60)+SUMIF(B:B,B129,D:D),60),"00")&amp;" min"))</f>
        <v/>
      </c>
    </row>
    <row r="130" ht="17.18">
      <c r="A130" s="60" t="str">
        <f>IF(ISBLANK(B130),"",_xlfn.ISOWEEKNUM('Journal de travail'!$B130))</f>
        <v/>
      </c>
      <c r="B130" s="28"/>
      <c r="C130" s="29"/>
      <c r="D130" s="30"/>
      <c r="E130" s="31"/>
      <c r="F130" s="37"/>
      <c r="G130" s="37"/>
      <c r="H130" t="str">
        <f>IF(OR(ISBLANK(B130),B130=""),"",IF(B130=B129,"",INT(((SUMIF(B:B,B130,C:C)*60)+SUMIF(B:B,B130,D:D))/60)&amp;" h "&amp;TEXT(MOD((SUMIF(B:B,B130,C:C)*60)+SUMIF(B:B,B130,D:D),60),"00")&amp;" min"))</f>
        <v/>
      </c>
    </row>
    <row r="131" ht="17.18">
      <c r="A131" s="61" t="str">
        <f>IF(ISBLANK(B131),"",_xlfn.ISOWEEKNUM('Journal de travail'!$B131))</f>
        <v/>
      </c>
      <c r="B131" s="32"/>
      <c r="C131" s="33"/>
      <c r="D131" s="34"/>
      <c r="E131" s="35"/>
      <c r="F131" s="38"/>
      <c r="G131" s="38"/>
      <c r="H131" t="str">
        <f>IF(OR(ISBLANK(B131),B131=""),"",IF(B131=B130,"",INT(((SUMIF(B:B,B131,C:C)*60)+SUMIF(B:B,B131,D:D))/60)&amp;" h "&amp;TEXT(MOD((SUMIF(B:B,B131,C:C)*60)+SUMIF(B:B,B131,D:D),60),"00")&amp;" min"))</f>
        <v/>
      </c>
    </row>
    <row r="132" ht="17.18">
      <c r="A132" s="60" t="str">
        <f>IF(ISBLANK(B132),"",_xlfn.ISOWEEKNUM('Journal de travail'!$B132))</f>
        <v/>
      </c>
      <c r="B132" s="28"/>
      <c r="C132" s="29"/>
      <c r="D132" s="30"/>
      <c r="E132" s="31"/>
      <c r="F132" s="37"/>
      <c r="G132" s="37"/>
      <c r="H132" t="str">
        <f>IF(OR(ISBLANK(B132),B132=""),"",IF(B132=B131,"",INT(((SUMIF(B:B,B132,C:C)*60)+SUMIF(B:B,B132,D:D))/60)&amp;" h "&amp;TEXT(MOD((SUMIF(B:B,B132,C:C)*60)+SUMIF(B:B,B132,D:D),60),"00")&amp;" min"))</f>
        <v/>
      </c>
    </row>
    <row r="133" ht="17.18">
      <c r="A133" s="61" t="str">
        <f>IF(ISBLANK(B133),"",_xlfn.ISOWEEKNUM('Journal de travail'!$B133))</f>
        <v/>
      </c>
      <c r="B133" s="32"/>
      <c r="C133" s="33"/>
      <c r="D133" s="34"/>
      <c r="E133" s="35"/>
      <c r="F133" s="38"/>
      <c r="G133" s="38"/>
      <c r="H133" t="str">
        <f>IF(OR(ISBLANK(B133),B133=""),"",IF(B133=B132,"",INT(((SUMIF(B:B,B133,C:C)*60)+SUMIF(B:B,B133,D:D))/60)&amp;" h "&amp;TEXT(MOD((SUMIF(B:B,B133,C:C)*60)+SUMIF(B:B,B133,D:D),60),"00")&amp;" min"))</f>
        <v/>
      </c>
    </row>
    <row r="134" ht="17.18">
      <c r="A134" s="60" t="str">
        <f>IF(ISBLANK(B134),"",_xlfn.ISOWEEKNUM('Journal de travail'!$B134))</f>
        <v/>
      </c>
      <c r="B134" s="28"/>
      <c r="C134" s="29"/>
      <c r="D134" s="30"/>
      <c r="E134" s="31"/>
      <c r="F134" s="37"/>
      <c r="G134" s="37"/>
      <c r="H134" t="str">
        <f>IF(OR(ISBLANK(B134),B134=""),"",IF(B134=B133,"",INT(((SUMIF(B:B,B134,C:C)*60)+SUMIF(B:B,B134,D:D))/60)&amp;" h "&amp;TEXT(MOD((SUMIF(B:B,B134,C:C)*60)+SUMIF(B:B,B134,D:D),60),"00")&amp;" min"))</f>
        <v/>
      </c>
    </row>
    <row r="135" ht="17.18">
      <c r="A135" s="61" t="str">
        <f>IF(ISBLANK(B135),"",_xlfn.ISOWEEKNUM('Journal de travail'!$B135))</f>
        <v/>
      </c>
      <c r="B135" s="32"/>
      <c r="C135" s="33"/>
      <c r="D135" s="34"/>
      <c r="E135" s="35"/>
      <c r="F135" s="38"/>
      <c r="G135" s="38"/>
      <c r="H135" t="str">
        <f>IF(OR(ISBLANK(B135),B135=""),"",IF(B135=B134,"",INT(((SUMIF(B:B,B135,C:C)*60)+SUMIF(B:B,B135,D:D))/60)&amp;" h "&amp;TEXT(MOD((SUMIF(B:B,B135,C:C)*60)+SUMIF(B:B,B135,D:D),60),"00")&amp;" min"))</f>
        <v/>
      </c>
    </row>
    <row r="136" ht="17.18">
      <c r="A136" s="60" t="str">
        <f>IF(ISBLANK(B136),"",_xlfn.ISOWEEKNUM('Journal de travail'!$B136))</f>
        <v/>
      </c>
      <c r="B136" s="28"/>
      <c r="C136" s="29"/>
      <c r="D136" s="30"/>
      <c r="E136" s="31"/>
      <c r="F136" s="37"/>
      <c r="G136" s="37"/>
      <c r="H136" t="str">
        <f>IF(OR(ISBLANK(B136),B136=""),"",IF(B136=B135,"",INT(((SUMIF(B:B,B136,C:C)*60)+SUMIF(B:B,B136,D:D))/60)&amp;" h "&amp;TEXT(MOD((SUMIF(B:B,B136,C:C)*60)+SUMIF(B:B,B136,D:D),60),"00")&amp;" min"))</f>
        <v/>
      </c>
    </row>
    <row r="137" ht="17.18">
      <c r="A137" s="61" t="str">
        <f>IF(ISBLANK(B137),"",_xlfn.ISOWEEKNUM('Journal de travail'!$B137))</f>
        <v/>
      </c>
      <c r="B137" s="32"/>
      <c r="C137" s="33"/>
      <c r="D137" s="34"/>
      <c r="E137" s="35"/>
      <c r="F137" s="38"/>
      <c r="G137" s="38"/>
      <c r="H137" t="str">
        <f>IF(OR(ISBLANK(B137),B137=""),"",IF(B137=B136,"",INT(((SUMIF(B:B,B137,C:C)*60)+SUMIF(B:B,B137,D:D))/60)&amp;" h "&amp;TEXT(MOD((SUMIF(B:B,B137,C:C)*60)+SUMIF(B:B,B137,D:D),60),"00")&amp;" min"))</f>
        <v/>
      </c>
    </row>
    <row r="138" ht="17.18">
      <c r="A138" s="60" t="str">
        <f>IF(ISBLANK(B138),"",_xlfn.ISOWEEKNUM('Journal de travail'!$B138))</f>
        <v/>
      </c>
      <c r="B138" s="28"/>
      <c r="C138" s="29"/>
      <c r="D138" s="30"/>
      <c r="E138" s="31"/>
      <c r="F138" s="37"/>
      <c r="G138" s="37"/>
      <c r="H138" t="str">
        <f>IF(OR(ISBLANK(B138),B138=""),"",IF(B138=B137,"",INT(((SUMIF(B:B,B138,C:C)*60)+SUMIF(B:B,B138,D:D))/60)&amp;" h "&amp;TEXT(MOD((SUMIF(B:B,B138,C:C)*60)+SUMIF(B:B,B138,D:D),60),"00")&amp;" min"))</f>
        <v/>
      </c>
    </row>
    <row r="139" ht="17.18">
      <c r="A139" s="61" t="str">
        <f>IF(ISBLANK(B139),"",_xlfn.ISOWEEKNUM('Journal de travail'!$B139))</f>
        <v/>
      </c>
      <c r="B139" s="32"/>
      <c r="C139" s="33"/>
      <c r="D139" s="34"/>
      <c r="E139" s="35"/>
      <c r="F139" s="38"/>
      <c r="G139" s="38"/>
      <c r="H139" t="str">
        <f>IF(OR(ISBLANK(B139),B139=""),"",IF(B139=B138,"",INT(((SUMIF(B:B,B139,C:C)*60)+SUMIF(B:B,B139,D:D))/60)&amp;" h "&amp;TEXT(MOD((SUMIF(B:B,B139,C:C)*60)+SUMIF(B:B,B139,D:D),60),"00")&amp;" min"))</f>
        <v/>
      </c>
    </row>
    <row r="140" ht="17.18">
      <c r="A140" s="60" t="str">
        <f>IF(ISBLANK(B140),"",_xlfn.ISOWEEKNUM('Journal de travail'!$B140))</f>
        <v/>
      </c>
      <c r="B140" s="28"/>
      <c r="C140" s="29"/>
      <c r="D140" s="30"/>
      <c r="E140" s="31"/>
      <c r="F140" s="37"/>
      <c r="G140" s="37"/>
      <c r="H140" t="str">
        <f>IF(OR(ISBLANK(B140),B140=""),"",IF(B140=B139,"",INT(((SUMIF(B:B,B140,C:C)*60)+SUMIF(B:B,B140,D:D))/60)&amp;" h "&amp;TEXT(MOD((SUMIF(B:B,B140,C:C)*60)+SUMIF(B:B,B140,D:D),60),"00")&amp;" min"))</f>
        <v/>
      </c>
    </row>
    <row r="141" ht="17.18">
      <c r="A141" s="61" t="str">
        <f>IF(ISBLANK(B141),"",_xlfn.ISOWEEKNUM('Journal de travail'!$B141))</f>
        <v/>
      </c>
      <c r="B141" s="32"/>
      <c r="C141" s="33"/>
      <c r="D141" s="34"/>
      <c r="E141" s="35"/>
      <c r="F141" s="38"/>
      <c r="G141" s="38"/>
      <c r="H141" t="str">
        <f>IF(OR(ISBLANK(B141),B141=""),"",IF(B141=B140,"",INT(((SUMIF(B:B,B141,C:C)*60)+SUMIF(B:B,B141,D:D))/60)&amp;" h "&amp;TEXT(MOD((SUMIF(B:B,B141,C:C)*60)+SUMIF(B:B,B141,D:D),60),"00")&amp;" min"))</f>
        <v/>
      </c>
    </row>
    <row r="142" ht="17.18">
      <c r="A142" s="60" t="str">
        <f>IF(ISBLANK(B142),"",_xlfn.ISOWEEKNUM('Journal de travail'!$B142))</f>
        <v/>
      </c>
      <c r="B142" s="28"/>
      <c r="C142" s="29"/>
      <c r="D142" s="30"/>
      <c r="E142" s="31"/>
      <c r="F142" s="37"/>
      <c r="G142" s="37"/>
      <c r="H142" t="str">
        <f>IF(OR(ISBLANK(B142),B142=""),"",IF(B142=B141,"",INT(((SUMIF(B:B,B142,C:C)*60)+SUMIF(B:B,B142,D:D))/60)&amp;" h "&amp;TEXT(MOD((SUMIF(B:B,B142,C:C)*60)+SUMIF(B:B,B142,D:D),60),"00")&amp;" min"))</f>
        <v/>
      </c>
    </row>
    <row r="143" ht="17.18">
      <c r="A143" s="61" t="str">
        <f>IF(ISBLANK(B143),"",_xlfn.ISOWEEKNUM('Journal de travail'!$B143))</f>
        <v/>
      </c>
      <c r="B143" s="32"/>
      <c r="C143" s="33"/>
      <c r="D143" s="34"/>
      <c r="E143" s="35"/>
      <c r="F143" s="38"/>
      <c r="G143" s="38"/>
      <c r="H143" t="str">
        <f>IF(OR(ISBLANK(B143),B143=""),"",IF(B143=B142,"",INT(((SUMIF(B:B,B143,C:C)*60)+SUMIF(B:B,B143,D:D))/60)&amp;" h "&amp;TEXT(MOD((SUMIF(B:B,B143,C:C)*60)+SUMIF(B:B,B143,D:D),60),"00")&amp;" min"))</f>
        <v/>
      </c>
    </row>
    <row r="144" ht="17.18">
      <c r="A144" s="60" t="str">
        <f>IF(ISBLANK(B144),"",_xlfn.ISOWEEKNUM('Journal de travail'!$B144))</f>
        <v/>
      </c>
      <c r="B144" s="28"/>
      <c r="C144" s="29"/>
      <c r="D144" s="30"/>
      <c r="E144" s="31"/>
      <c r="F144" s="37"/>
      <c r="G144" s="37"/>
      <c r="H144" t="str">
        <f>IF(OR(ISBLANK(B144),B144=""),"",IF(B144=B143,"",INT(((SUMIF(B:B,B144,C:C)*60)+SUMIF(B:B,B144,D:D))/60)&amp;" h "&amp;TEXT(MOD((SUMIF(B:B,B144,C:C)*60)+SUMIF(B:B,B144,D:D),60),"00")&amp;" min"))</f>
        <v/>
      </c>
    </row>
    <row r="145" ht="17.18">
      <c r="A145" s="61" t="str">
        <f>IF(ISBLANK(B145),"",_xlfn.ISOWEEKNUM('Journal de travail'!$B145))</f>
        <v/>
      </c>
      <c r="B145" s="32"/>
      <c r="C145" s="33"/>
      <c r="D145" s="34"/>
      <c r="E145" s="35"/>
      <c r="F145" s="38"/>
      <c r="G145" s="38"/>
      <c r="H145" t="str">
        <f>IF(OR(ISBLANK(B145),B145=""),"",IF(B145=B144,"",INT(((SUMIF(B:B,B145,C:C)*60)+SUMIF(B:B,B145,D:D))/60)&amp;" h "&amp;TEXT(MOD((SUMIF(B:B,B145,C:C)*60)+SUMIF(B:B,B145,D:D),60),"00")&amp;" min"))</f>
        <v/>
      </c>
    </row>
    <row r="146" ht="17.18">
      <c r="A146" s="60" t="str">
        <f>IF(ISBLANK(B146),"",_xlfn.ISOWEEKNUM('Journal de travail'!$B146))</f>
        <v/>
      </c>
      <c r="B146" s="28"/>
      <c r="C146" s="29"/>
      <c r="D146" s="30"/>
      <c r="E146" s="31"/>
      <c r="F146" s="37"/>
      <c r="G146" s="37"/>
      <c r="H146" t="str">
        <f>IF(OR(ISBLANK(B146),B146=""),"",IF(B146=B145,"",INT(((SUMIF(B:B,B146,C:C)*60)+SUMIF(B:B,B146,D:D))/60)&amp;" h "&amp;TEXT(MOD((SUMIF(B:B,B146,C:C)*60)+SUMIF(B:B,B146,D:D),60),"00")&amp;" min"))</f>
        <v/>
      </c>
    </row>
    <row r="147" ht="17.18">
      <c r="A147" s="61" t="str">
        <f>IF(ISBLANK(B147),"",_xlfn.ISOWEEKNUM('Journal de travail'!$B147))</f>
        <v/>
      </c>
      <c r="B147" s="32"/>
      <c r="C147" s="33"/>
      <c r="D147" s="34"/>
      <c r="E147" s="35"/>
      <c r="F147" s="38"/>
      <c r="G147" s="38"/>
      <c r="H147" t="str">
        <f>IF(OR(ISBLANK(B147),B147=""),"",IF(B147=B146,"",INT(((SUMIF(B:B,B147,C:C)*60)+SUMIF(B:B,B147,D:D))/60)&amp;" h "&amp;TEXT(MOD((SUMIF(B:B,B147,C:C)*60)+SUMIF(B:B,B147,D:D),60),"00")&amp;" min"))</f>
        <v/>
      </c>
    </row>
    <row r="148" ht="17.18">
      <c r="A148" s="60" t="str">
        <f>IF(ISBLANK(B148),"",_xlfn.ISOWEEKNUM('Journal de travail'!$B148))</f>
        <v/>
      </c>
      <c r="B148" s="28"/>
      <c r="C148" s="29"/>
      <c r="D148" s="30"/>
      <c r="E148" s="31"/>
      <c r="F148" s="37"/>
      <c r="G148" s="37"/>
      <c r="H148" t="str">
        <f>IF(OR(ISBLANK(B148),B148=""),"",IF(B148=B147,"",INT(((SUMIF(B:B,B148,C:C)*60)+SUMIF(B:B,B148,D:D))/60)&amp;" h "&amp;TEXT(MOD((SUMIF(B:B,B148,C:C)*60)+SUMIF(B:B,B148,D:D),60),"00")&amp;" min"))</f>
        <v/>
      </c>
    </row>
    <row r="149" ht="17.18">
      <c r="A149" s="61" t="str">
        <f>IF(ISBLANK(B149),"",_xlfn.ISOWEEKNUM('Journal de travail'!$B149))</f>
        <v/>
      </c>
      <c r="B149" s="32"/>
      <c r="C149" s="33"/>
      <c r="D149" s="34"/>
      <c r="E149" s="35"/>
      <c r="F149" s="38"/>
      <c r="G149" s="38"/>
      <c r="H149" t="str">
        <f>IF(OR(ISBLANK(B149),B149=""),"",IF(B149=B148,"",INT(((SUMIF(B:B,B149,C:C)*60)+SUMIF(B:B,B149,D:D))/60)&amp;" h "&amp;TEXT(MOD((SUMIF(B:B,B149,C:C)*60)+SUMIF(B:B,B149,D:D),60),"00")&amp;" min"))</f>
        <v/>
      </c>
    </row>
    <row r="150" ht="17.18">
      <c r="A150" s="60" t="str">
        <f>IF(ISBLANK(B150),"",_xlfn.ISOWEEKNUM('Journal de travail'!$B150))</f>
        <v/>
      </c>
      <c r="B150" s="28"/>
      <c r="C150" s="29"/>
      <c r="D150" s="30"/>
      <c r="E150" s="31"/>
      <c r="F150" s="37"/>
      <c r="G150" s="37"/>
      <c r="H150" t="str">
        <f>IF(OR(ISBLANK(B150),B150=""),"",IF(B150=B149,"",INT(((SUMIF(B:B,B150,C:C)*60)+SUMIF(B:B,B150,D:D))/60)&amp;" h "&amp;TEXT(MOD((SUMIF(B:B,B150,C:C)*60)+SUMIF(B:B,B150,D:D),60),"00")&amp;" min"))</f>
        <v/>
      </c>
    </row>
    <row r="151" ht="17.18">
      <c r="A151" s="61" t="str">
        <f>IF(ISBLANK(B151),"",_xlfn.ISOWEEKNUM('Journal de travail'!$B151))</f>
        <v/>
      </c>
      <c r="B151" s="32"/>
      <c r="C151" s="33"/>
      <c r="D151" s="34"/>
      <c r="E151" s="35"/>
      <c r="F151" s="38"/>
      <c r="G151" s="38"/>
      <c r="H151" t="str">
        <f>IF(OR(ISBLANK(B151),B151=""),"",IF(B151=B150,"",INT(((SUMIF(B:B,B151,C:C)*60)+SUMIF(B:B,B151,D:D))/60)&amp;" h "&amp;TEXT(MOD((SUMIF(B:B,B151,C:C)*60)+SUMIF(B:B,B151,D:D),60),"00")&amp;" min"))</f>
        <v/>
      </c>
    </row>
    <row r="152" ht="17.18">
      <c r="A152" s="60" t="str">
        <f>IF(ISBLANK(B152),"",_xlfn.ISOWEEKNUM('Journal de travail'!$B152))</f>
        <v/>
      </c>
      <c r="B152" s="28"/>
      <c r="C152" s="29"/>
      <c r="D152" s="30"/>
      <c r="E152" s="31"/>
      <c r="F152" s="37"/>
      <c r="G152" s="37"/>
      <c r="H152" t="str">
        <f>IF(OR(ISBLANK(B152),B152=""),"",IF(B152=B151,"",INT(((SUMIF(B:B,B152,C:C)*60)+SUMIF(B:B,B152,D:D))/60)&amp;" h "&amp;TEXT(MOD((SUMIF(B:B,B152,C:C)*60)+SUMIF(B:B,B152,D:D),60),"00")&amp;" min"))</f>
        <v/>
      </c>
    </row>
    <row r="153" ht="17.18">
      <c r="A153" s="61" t="str">
        <f>IF(ISBLANK(B153),"",_xlfn.ISOWEEKNUM('Journal de travail'!$B153))</f>
        <v/>
      </c>
      <c r="B153" s="32"/>
      <c r="C153" s="33"/>
      <c r="D153" s="34"/>
      <c r="E153" s="35"/>
      <c r="F153" s="38"/>
      <c r="G153" s="38"/>
      <c r="H153" t="str">
        <f>IF(OR(ISBLANK(B153),B153=""),"",IF(B153=B152,"",INT(((SUMIF(B:B,B153,C:C)*60)+SUMIF(B:B,B153,D:D))/60)&amp;" h "&amp;TEXT(MOD((SUMIF(B:B,B153,C:C)*60)+SUMIF(B:B,B153,D:D),60),"00")&amp;" min"))</f>
        <v/>
      </c>
    </row>
    <row r="154" ht="17.18">
      <c r="A154" s="60" t="str">
        <f>IF(ISBLANK(B154),"",_xlfn.ISOWEEKNUM('Journal de travail'!$B154))</f>
        <v/>
      </c>
      <c r="B154" s="28"/>
      <c r="C154" s="29"/>
      <c r="D154" s="30"/>
      <c r="E154" s="31"/>
      <c r="F154" s="37"/>
      <c r="G154" s="37"/>
      <c r="H154" t="str">
        <f>IF(OR(ISBLANK(B154),B154=""),"",IF(B154=B153,"",INT(((SUMIF(B:B,B154,C:C)*60)+SUMIF(B:B,B154,D:D))/60)&amp;" h "&amp;TEXT(MOD((SUMIF(B:B,B154,C:C)*60)+SUMIF(B:B,B154,D:D),60),"00")&amp;" min"))</f>
        <v/>
      </c>
    </row>
    <row r="155" ht="17.18">
      <c r="A155" s="61" t="str">
        <f>IF(ISBLANK(B155),"",_xlfn.ISOWEEKNUM('Journal de travail'!$B155))</f>
        <v/>
      </c>
      <c r="B155" s="32"/>
      <c r="C155" s="33"/>
      <c r="D155" s="34"/>
      <c r="E155" s="35"/>
      <c r="F155" s="38"/>
      <c r="G155" s="38"/>
      <c r="H155" t="str">
        <f>IF(OR(ISBLANK(B155),B155=""),"",IF(B155=B154,"",INT(((SUMIF(B:B,B155,C:C)*60)+SUMIF(B:B,B155,D:D))/60)&amp;" h "&amp;TEXT(MOD((SUMIF(B:B,B155,C:C)*60)+SUMIF(B:B,B155,D:D),60),"00")&amp;" min"))</f>
        <v/>
      </c>
    </row>
    <row r="156" ht="17.18">
      <c r="A156" s="60" t="str">
        <f>IF(ISBLANK(B156),"",_xlfn.ISOWEEKNUM('Journal de travail'!$B156))</f>
        <v/>
      </c>
      <c r="B156" s="28"/>
      <c r="C156" s="29"/>
      <c r="D156" s="30"/>
      <c r="E156" s="31"/>
      <c r="F156" s="37"/>
      <c r="G156" s="37"/>
      <c r="H156" t="str">
        <f>IF(OR(ISBLANK(B156),B156=""),"",IF(B156=B155,"",INT(((SUMIF(B:B,B156,C:C)*60)+SUMIF(B:B,B156,D:D))/60)&amp;" h "&amp;TEXT(MOD((SUMIF(B:B,B156,C:C)*60)+SUMIF(B:B,B156,D:D),60),"00")&amp;" min"))</f>
        <v/>
      </c>
    </row>
    <row r="157" ht="17.18">
      <c r="A157" s="61" t="str">
        <f>IF(ISBLANK(B157),"",_xlfn.ISOWEEKNUM('Journal de travail'!$B157))</f>
        <v/>
      </c>
      <c r="B157" s="32"/>
      <c r="C157" s="33"/>
      <c r="D157" s="34"/>
      <c r="E157" s="35"/>
      <c r="F157" s="38"/>
      <c r="G157" s="38"/>
      <c r="H157" t="str">
        <f>IF(OR(ISBLANK(B157),B157=""),"",IF(B157=B156,"",INT(((SUMIF(B:B,B157,C:C)*60)+SUMIF(B:B,B157,D:D))/60)&amp;" h "&amp;TEXT(MOD((SUMIF(B:B,B157,C:C)*60)+SUMIF(B:B,B157,D:D),60),"00")&amp;" min"))</f>
        <v/>
      </c>
    </row>
    <row r="158" ht="17.18">
      <c r="A158" s="60" t="str">
        <f>IF(ISBLANK(B158),"",_xlfn.ISOWEEKNUM('Journal de travail'!$B158))</f>
        <v/>
      </c>
      <c r="B158" s="28"/>
      <c r="C158" s="29"/>
      <c r="D158" s="30"/>
      <c r="E158" s="31"/>
      <c r="F158" s="37"/>
      <c r="G158" s="37"/>
      <c r="H158" t="str">
        <f>IF(OR(ISBLANK(B158),B158=""),"",IF(B158=B157,"",INT(((SUMIF(B:B,B158,C:C)*60)+SUMIF(B:B,B158,D:D))/60)&amp;" h "&amp;TEXT(MOD((SUMIF(B:B,B158,C:C)*60)+SUMIF(B:B,B158,D:D),60),"00")&amp;" min"))</f>
        <v/>
      </c>
    </row>
    <row r="159" ht="17.18">
      <c r="A159" s="61" t="str">
        <f>IF(ISBLANK(B159),"",_xlfn.ISOWEEKNUM('Journal de travail'!$B159))</f>
        <v/>
      </c>
      <c r="B159" s="32"/>
      <c r="C159" s="33"/>
      <c r="D159" s="34"/>
      <c r="E159" s="35"/>
      <c r="F159" s="38"/>
      <c r="G159" s="38"/>
      <c r="H159" t="str">
        <f>IF(OR(ISBLANK(B159),B159=""),"",IF(B159=B158,"",INT(((SUMIF(B:B,B159,C:C)*60)+SUMIF(B:B,B159,D:D))/60)&amp;" h "&amp;TEXT(MOD((SUMIF(B:B,B159,C:C)*60)+SUMIF(B:B,B159,D:D),60),"00")&amp;" min"))</f>
        <v/>
      </c>
    </row>
    <row r="160" ht="17.18">
      <c r="A160" s="60" t="str">
        <f>IF(ISBLANK(B160),"",_xlfn.ISOWEEKNUM('Journal de travail'!$B160))</f>
        <v/>
      </c>
      <c r="B160" s="28"/>
      <c r="C160" s="29"/>
      <c r="D160" s="30"/>
      <c r="E160" s="31"/>
      <c r="F160" s="37"/>
      <c r="G160" s="37"/>
      <c r="H160" t="str">
        <f>IF(OR(ISBLANK(B160),B160=""),"",IF(B160=B159,"",INT(((SUMIF(B:B,B160,C:C)*60)+SUMIF(B:B,B160,D:D))/60)&amp;" h "&amp;TEXT(MOD((SUMIF(B:B,B160,C:C)*60)+SUMIF(B:B,B160,D:D),60),"00")&amp;" min"))</f>
        <v/>
      </c>
    </row>
    <row r="161" ht="17.18">
      <c r="A161" s="61" t="str">
        <f>IF(ISBLANK(B161),"",_xlfn.ISOWEEKNUM('Journal de travail'!$B161))</f>
        <v/>
      </c>
      <c r="B161" s="32"/>
      <c r="C161" s="33"/>
      <c r="D161" s="34"/>
      <c r="E161" s="35"/>
      <c r="F161" s="38"/>
      <c r="G161" s="38"/>
      <c r="H161" t="str">
        <f>IF(OR(ISBLANK(B161),B161=""),"",IF(B161=B160,"",INT(((SUMIF(B:B,B161,C:C)*60)+SUMIF(B:B,B161,D:D))/60)&amp;" h "&amp;TEXT(MOD((SUMIF(B:B,B161,C:C)*60)+SUMIF(B:B,B161,D:D),60),"00")&amp;" min"))</f>
        <v/>
      </c>
    </row>
    <row r="162" ht="17.18">
      <c r="A162" s="60" t="str">
        <f>IF(ISBLANK(B162),"",_xlfn.ISOWEEKNUM('Journal de travail'!$B162))</f>
        <v/>
      </c>
      <c r="B162" s="28"/>
      <c r="C162" s="29"/>
      <c r="D162" s="30"/>
      <c r="E162" s="31"/>
      <c r="F162" s="37"/>
      <c r="G162" s="37"/>
      <c r="H162" t="str">
        <f>IF(OR(ISBLANK(B162),B162=""),"",IF(B162=B161,"",INT(((SUMIF(B:B,B162,C:C)*60)+SUMIF(B:B,B162,D:D))/60)&amp;" h "&amp;TEXT(MOD((SUMIF(B:B,B162,C:C)*60)+SUMIF(B:B,B162,D:D),60),"00")&amp;" min"))</f>
        <v/>
      </c>
    </row>
    <row r="163" ht="17.18">
      <c r="A163" s="61" t="str">
        <f>IF(ISBLANK(B163),"",_xlfn.ISOWEEKNUM('Journal de travail'!$B163))</f>
        <v/>
      </c>
      <c r="B163" s="32"/>
      <c r="C163" s="33"/>
      <c r="D163" s="34"/>
      <c r="E163" s="35"/>
      <c r="F163" s="38"/>
      <c r="G163" s="38"/>
      <c r="H163" t="str">
        <f>IF(OR(ISBLANK(B163),B163=""),"",IF(B163=B162,"",INT(((SUMIF(B:B,B163,C:C)*60)+SUMIF(B:B,B163,D:D))/60)&amp;" h "&amp;TEXT(MOD((SUMIF(B:B,B163,C:C)*60)+SUMIF(B:B,B163,D:D),60),"00")&amp;" min"))</f>
        <v/>
      </c>
    </row>
    <row r="164" ht="17.18">
      <c r="A164" s="60" t="str">
        <f>IF(ISBLANK(B164),"",_xlfn.ISOWEEKNUM('Journal de travail'!$B164))</f>
        <v/>
      </c>
      <c r="B164" s="28"/>
      <c r="C164" s="29"/>
      <c r="D164" s="30"/>
      <c r="E164" s="31"/>
      <c r="F164" s="37"/>
      <c r="G164" s="37"/>
      <c r="H164" t="str">
        <f>IF(OR(ISBLANK(B164),B164=""),"",IF(B164=B163,"",INT(((SUMIF(B:B,B164,C:C)*60)+SUMIF(B:B,B164,D:D))/60)&amp;" h "&amp;TEXT(MOD((SUMIF(B:B,B164,C:C)*60)+SUMIF(B:B,B164,D:D),60),"00")&amp;" min"))</f>
        <v/>
      </c>
    </row>
    <row r="165" ht="17.18">
      <c r="A165" s="61" t="str">
        <f>IF(ISBLANK(B165),"",_xlfn.ISOWEEKNUM('Journal de travail'!$B165))</f>
        <v/>
      </c>
      <c r="B165" s="32"/>
      <c r="C165" s="33"/>
      <c r="D165" s="34"/>
      <c r="E165" s="35"/>
      <c r="F165" s="38"/>
      <c r="G165" s="38"/>
      <c r="H165" t="str">
        <f>IF(OR(ISBLANK(B165),B165=""),"",IF(B165=B164,"",INT(((SUMIF(B:B,B165,C:C)*60)+SUMIF(B:B,B165,D:D))/60)&amp;" h "&amp;TEXT(MOD((SUMIF(B:B,B165,C:C)*60)+SUMIF(B:B,B165,D:D),60),"00")&amp;" min"))</f>
        <v/>
      </c>
    </row>
    <row r="166" ht="17.18">
      <c r="A166" s="60" t="str">
        <f>IF(ISBLANK(B166),"",_xlfn.ISOWEEKNUM('Journal de travail'!$B166))</f>
        <v/>
      </c>
      <c r="B166" s="28"/>
      <c r="C166" s="29"/>
      <c r="D166" s="30"/>
      <c r="E166" s="31"/>
      <c r="F166" s="37"/>
      <c r="G166" s="37"/>
      <c r="H166" t="str">
        <f>IF(OR(ISBLANK(B166),B166=""),"",IF(B166=B165,"",INT(((SUMIF(B:B,B166,C:C)*60)+SUMIF(B:B,B166,D:D))/60)&amp;" h "&amp;TEXT(MOD((SUMIF(B:B,B166,C:C)*60)+SUMIF(B:B,B166,D:D),60),"00")&amp;" min"))</f>
        <v/>
      </c>
    </row>
    <row r="167" ht="17.18">
      <c r="A167" s="61" t="str">
        <f>IF(ISBLANK(B167),"",_xlfn.ISOWEEKNUM('Journal de travail'!$B167))</f>
        <v/>
      </c>
      <c r="B167" s="32"/>
      <c r="C167" s="33"/>
      <c r="D167" s="34"/>
      <c r="E167" s="35"/>
      <c r="F167" s="38"/>
      <c r="G167" s="38"/>
      <c r="H167" t="str">
        <f>IF(OR(ISBLANK(B167),B167=""),"",IF(B167=B166,"",INT(((SUMIF(B:B,B167,C:C)*60)+SUMIF(B:B,B167,D:D))/60)&amp;" h "&amp;TEXT(MOD((SUMIF(B:B,B167,C:C)*60)+SUMIF(B:B,B167,D:D),60),"00")&amp;" min"))</f>
        <v/>
      </c>
    </row>
    <row r="168" ht="17.18">
      <c r="A168" s="60" t="str">
        <f>IF(ISBLANK(B168),"",_xlfn.ISOWEEKNUM('Journal de travail'!$B168))</f>
        <v/>
      </c>
      <c r="B168" s="28"/>
      <c r="C168" s="29"/>
      <c r="D168" s="30"/>
      <c r="E168" s="31"/>
      <c r="F168" s="37"/>
      <c r="G168" s="37"/>
      <c r="H168" t="str">
        <f>IF(OR(ISBLANK(B168),B168=""),"",IF(B168=B167,"",INT(((SUMIF(B:B,B168,C:C)*60)+SUMIF(B:B,B168,D:D))/60)&amp;" h "&amp;TEXT(MOD((SUMIF(B:B,B168,C:C)*60)+SUMIF(B:B,B168,D:D),60),"00")&amp;" min"))</f>
        <v/>
      </c>
    </row>
    <row r="169" ht="17.18">
      <c r="A169" s="61" t="str">
        <f>IF(ISBLANK(B169),"",_xlfn.ISOWEEKNUM('Journal de travail'!$B169))</f>
        <v/>
      </c>
      <c r="B169" s="32"/>
      <c r="C169" s="33"/>
      <c r="D169" s="34"/>
      <c r="E169" s="35"/>
      <c r="F169" s="38"/>
      <c r="G169" s="38"/>
      <c r="H169" t="str">
        <f>IF(OR(ISBLANK(B169),B169=""),"",IF(B169=B168,"",INT(((SUMIF(B:B,B169,C:C)*60)+SUMIF(B:B,B169,D:D))/60)&amp;" h "&amp;TEXT(MOD((SUMIF(B:B,B169,C:C)*60)+SUMIF(B:B,B169,D:D),60),"00")&amp;" min"))</f>
        <v/>
      </c>
    </row>
    <row r="170" ht="17.18">
      <c r="A170" s="60" t="str">
        <f>IF(ISBLANK(B170),"",_xlfn.ISOWEEKNUM('Journal de travail'!$B170))</f>
        <v/>
      </c>
      <c r="B170" s="28"/>
      <c r="C170" s="29"/>
      <c r="D170" s="30"/>
      <c r="E170" s="31"/>
      <c r="F170" s="37"/>
      <c r="G170" s="37"/>
      <c r="H170" t="str">
        <f>IF(OR(ISBLANK(B170),B170=""),"",IF(B170=B169,"",INT(((SUMIF(B:B,B170,C:C)*60)+SUMIF(B:B,B170,D:D))/60)&amp;" h "&amp;TEXT(MOD((SUMIF(B:B,B170,C:C)*60)+SUMIF(B:B,B170,D:D),60),"00")&amp;" min"))</f>
        <v/>
      </c>
    </row>
    <row r="171" ht="17.18">
      <c r="A171" s="61" t="str">
        <f>IF(ISBLANK(B171),"",_xlfn.ISOWEEKNUM('Journal de travail'!$B171))</f>
        <v/>
      </c>
      <c r="B171" s="32"/>
      <c r="C171" s="33"/>
      <c r="D171" s="34"/>
      <c r="E171" s="35"/>
      <c r="F171" s="38"/>
      <c r="G171" s="38"/>
      <c r="H171" t="str">
        <f>IF(OR(ISBLANK(B171),B171=""),"",IF(B171=B170,"",INT(((SUMIF(B:B,B171,C:C)*60)+SUMIF(B:B,B171,D:D))/60)&amp;" h "&amp;TEXT(MOD((SUMIF(B:B,B171,C:C)*60)+SUMIF(B:B,B171,D:D),60),"00")&amp;" min"))</f>
        <v/>
      </c>
    </row>
    <row r="172" ht="17.18">
      <c r="A172" s="60" t="str">
        <f>IF(ISBLANK(B172),"",_xlfn.ISOWEEKNUM('Journal de travail'!$B172))</f>
        <v/>
      </c>
      <c r="B172" s="28"/>
      <c r="C172" s="29"/>
      <c r="D172" s="30"/>
      <c r="E172" s="31"/>
      <c r="F172" s="37"/>
      <c r="G172" s="37"/>
      <c r="H172" t="str">
        <f>IF(OR(ISBLANK(B172),B172=""),"",IF(B172=B171,"",INT(((SUMIF(B:B,B172,C:C)*60)+SUMIF(B:B,B172,D:D))/60)&amp;" h "&amp;TEXT(MOD((SUMIF(B:B,B172,C:C)*60)+SUMIF(B:B,B172,D:D),60),"00")&amp;" min"))</f>
        <v/>
      </c>
    </row>
    <row r="173" ht="17.18">
      <c r="A173" s="61" t="str">
        <f>IF(ISBLANK(B173),"",_xlfn.ISOWEEKNUM('Journal de travail'!$B173))</f>
        <v/>
      </c>
      <c r="B173" s="32"/>
      <c r="C173" s="33"/>
      <c r="D173" s="34"/>
      <c r="E173" s="35"/>
      <c r="F173" s="38"/>
      <c r="G173" s="38"/>
      <c r="H173" t="str">
        <f>IF(OR(ISBLANK(B173),B173=""),"",IF(B173=B172,"",INT(((SUMIF(B:B,B173,C:C)*60)+SUMIF(B:B,B173,D:D))/60)&amp;" h "&amp;TEXT(MOD((SUMIF(B:B,B173,C:C)*60)+SUMIF(B:B,B173,D:D),60),"00")&amp;" min"))</f>
        <v/>
      </c>
    </row>
    <row r="174" ht="17.18">
      <c r="A174" s="60" t="str">
        <f>IF(ISBLANK(B174),"",_xlfn.ISOWEEKNUM('Journal de travail'!$B174))</f>
        <v/>
      </c>
      <c r="B174" s="28"/>
      <c r="C174" s="29"/>
      <c r="D174" s="30"/>
      <c r="E174" s="31"/>
      <c r="F174" s="37"/>
      <c r="G174" s="37"/>
      <c r="H174" t="str">
        <f>IF(OR(ISBLANK(B174),B174=""),"",IF(B174=B173,"",INT(((SUMIF(B:B,B174,C:C)*60)+SUMIF(B:B,B174,D:D))/60)&amp;" h "&amp;TEXT(MOD((SUMIF(B:B,B174,C:C)*60)+SUMIF(B:B,B174,D:D),60),"00")&amp;" min"))</f>
        <v/>
      </c>
    </row>
    <row r="175" ht="17.18">
      <c r="A175" s="61" t="str">
        <f>IF(ISBLANK(B175),"",_xlfn.ISOWEEKNUM('Journal de travail'!$B175))</f>
        <v/>
      </c>
      <c r="B175" s="32"/>
      <c r="C175" s="33"/>
      <c r="D175" s="34"/>
      <c r="E175" s="35"/>
      <c r="F175" s="38"/>
      <c r="G175" s="38"/>
      <c r="H175" t="str">
        <f>IF(OR(ISBLANK(B175),B175=""),"",IF(B175=B174,"",INT(((SUMIF(B:B,B175,C:C)*60)+SUMIF(B:B,B175,D:D))/60)&amp;" h "&amp;TEXT(MOD((SUMIF(B:B,B175,C:C)*60)+SUMIF(B:B,B175,D:D),60),"00")&amp;" min"))</f>
        <v/>
      </c>
    </row>
    <row r="176" ht="17.18">
      <c r="A176" s="60" t="str">
        <f>IF(ISBLANK(B176),"",_xlfn.ISOWEEKNUM('Journal de travail'!$B176))</f>
        <v/>
      </c>
      <c r="B176" s="28"/>
      <c r="C176" s="29"/>
      <c r="D176" s="30"/>
      <c r="E176" s="31"/>
      <c r="F176" s="37"/>
      <c r="G176" s="37"/>
      <c r="H176" t="str">
        <f>IF(OR(ISBLANK(B176),B176=""),"",IF(B176=B175,"",INT(((SUMIF(B:B,B176,C:C)*60)+SUMIF(B:B,B176,D:D))/60)&amp;" h "&amp;TEXT(MOD((SUMIF(B:B,B176,C:C)*60)+SUMIF(B:B,B176,D:D),60),"00")&amp;" min"))</f>
        <v/>
      </c>
    </row>
    <row r="177" ht="17.18">
      <c r="A177" s="61" t="str">
        <f>IF(ISBLANK(B177),"",_xlfn.ISOWEEKNUM('Journal de travail'!$B177))</f>
        <v/>
      </c>
      <c r="B177" s="32"/>
      <c r="C177" s="33"/>
      <c r="D177" s="34"/>
      <c r="E177" s="35"/>
      <c r="F177" s="38"/>
      <c r="G177" s="38"/>
      <c r="H177" t="str">
        <f>IF(OR(ISBLANK(B177),B177=""),"",IF(B177=B176,"",INT(((SUMIF(B:B,B177,C:C)*60)+SUMIF(B:B,B177,D:D))/60)&amp;" h "&amp;TEXT(MOD((SUMIF(B:B,B177,C:C)*60)+SUMIF(B:B,B177,D:D),60),"00")&amp;" min"))</f>
        <v/>
      </c>
    </row>
    <row r="178" ht="17.18">
      <c r="A178" s="60" t="str">
        <f>IF(ISBLANK(B178),"",_xlfn.ISOWEEKNUM('Journal de travail'!$B178))</f>
        <v/>
      </c>
      <c r="B178" s="28"/>
      <c r="C178" s="29"/>
      <c r="D178" s="30"/>
      <c r="E178" s="31"/>
      <c r="F178" s="37"/>
      <c r="G178" s="37"/>
      <c r="H178" t="str">
        <f>IF(OR(ISBLANK(B178),B178=""),"",IF(B178=B177,"",INT(((SUMIF(B:B,B178,C:C)*60)+SUMIF(B:B,B178,D:D))/60)&amp;" h "&amp;TEXT(MOD((SUMIF(B:B,B178,C:C)*60)+SUMIF(B:B,B178,D:D),60),"00")&amp;" min"))</f>
        <v/>
      </c>
    </row>
    <row r="179" ht="17.18">
      <c r="A179" s="61" t="str">
        <f>IF(ISBLANK(B179),"",_xlfn.ISOWEEKNUM('Journal de travail'!$B179))</f>
        <v/>
      </c>
      <c r="B179" s="32"/>
      <c r="C179" s="33"/>
      <c r="D179" s="34"/>
      <c r="E179" s="35"/>
      <c r="F179" s="38"/>
      <c r="G179" s="38"/>
      <c r="H179" t="str">
        <f>IF(OR(ISBLANK(B179),B179=""),"",IF(B179=B178,"",INT(((SUMIF(B:B,B179,C:C)*60)+SUMIF(B:B,B179,D:D))/60)&amp;" h "&amp;TEXT(MOD((SUMIF(B:B,B179,C:C)*60)+SUMIF(B:B,B179,D:D),60),"00")&amp;" min"))</f>
        <v/>
      </c>
    </row>
    <row r="180" ht="17.18">
      <c r="A180" s="60" t="str">
        <f>IF(ISBLANK(B180),"",_xlfn.ISOWEEKNUM('Journal de travail'!$B180))</f>
        <v/>
      </c>
      <c r="B180" s="28"/>
      <c r="C180" s="29"/>
      <c r="D180" s="30"/>
      <c r="E180" s="31"/>
      <c r="F180" s="37"/>
      <c r="G180" s="37"/>
      <c r="H180" t="str">
        <f>IF(OR(ISBLANK(B180),B180=""),"",IF(B180=B179,"",INT(((SUMIF(B:B,B180,C:C)*60)+SUMIF(B:B,B180,D:D))/60)&amp;" h "&amp;TEXT(MOD((SUMIF(B:B,B180,C:C)*60)+SUMIF(B:B,B180,D:D),60),"00")&amp;" min"))</f>
        <v/>
      </c>
    </row>
    <row r="181" ht="17.18">
      <c r="A181" s="61" t="str">
        <f>IF(ISBLANK(B181),"",_xlfn.ISOWEEKNUM('Journal de travail'!$B181))</f>
        <v/>
      </c>
      <c r="B181" s="32"/>
      <c r="C181" s="33"/>
      <c r="D181" s="34"/>
      <c r="E181" s="35"/>
      <c r="F181" s="38"/>
      <c r="G181" s="38"/>
      <c r="H181" t="str">
        <f>IF(OR(ISBLANK(B181),B181=""),"",IF(B181=B180,"",INT(((SUMIF(B:B,B181,C:C)*60)+SUMIF(B:B,B181,D:D))/60)&amp;" h "&amp;TEXT(MOD((SUMIF(B:B,B181,C:C)*60)+SUMIF(B:B,B181,D:D),60),"00")&amp;" min"))</f>
        <v/>
      </c>
    </row>
    <row r="182" ht="17.18">
      <c r="A182" s="60" t="str">
        <f>IF(ISBLANK(B182),"",_xlfn.ISOWEEKNUM('Journal de travail'!$B182))</f>
        <v/>
      </c>
      <c r="B182" s="28"/>
      <c r="C182" s="29"/>
      <c r="D182" s="30"/>
      <c r="E182" s="31"/>
      <c r="F182" s="37"/>
      <c r="G182" s="37"/>
      <c r="H182" t="str">
        <f>IF(OR(ISBLANK(B182),B182=""),"",IF(B182=B181,"",INT(((SUMIF(B:B,B182,C:C)*60)+SUMIF(B:B,B182,D:D))/60)&amp;" h "&amp;TEXT(MOD((SUMIF(B:B,B182,C:C)*60)+SUMIF(B:B,B182,D:D),60),"00")&amp;" min"))</f>
        <v/>
      </c>
    </row>
    <row r="183" ht="17.18">
      <c r="A183" s="61" t="str">
        <f>IF(ISBLANK(B183),"",_xlfn.ISOWEEKNUM('Journal de travail'!$B183))</f>
        <v/>
      </c>
      <c r="B183" s="32"/>
      <c r="C183" s="33"/>
      <c r="D183" s="34"/>
      <c r="E183" s="35"/>
      <c r="F183" s="38"/>
      <c r="G183" s="38"/>
      <c r="H183" t="str">
        <f>IF(OR(ISBLANK(B183),B183=""),"",IF(B183=B182,"",INT(((SUMIF(B:B,B183,C:C)*60)+SUMIF(B:B,B183,D:D))/60)&amp;" h "&amp;TEXT(MOD((SUMIF(B:B,B183,C:C)*60)+SUMIF(B:B,B183,D:D),60),"00")&amp;" min"))</f>
        <v/>
      </c>
    </row>
    <row r="184" ht="17.18">
      <c r="A184" s="60" t="str">
        <f>IF(ISBLANK(B184),"",_xlfn.ISOWEEKNUM('Journal de travail'!$B184))</f>
        <v/>
      </c>
      <c r="B184" s="28"/>
      <c r="C184" s="29"/>
      <c r="D184" s="30"/>
      <c r="E184" s="31"/>
      <c r="F184" s="37"/>
      <c r="G184" s="37"/>
      <c r="H184" t="str">
        <f>IF(OR(ISBLANK(B184),B184=""),"",IF(B184=B183,"",INT(((SUMIF(B:B,B184,C:C)*60)+SUMIF(B:B,B184,D:D))/60)&amp;" h "&amp;TEXT(MOD((SUMIF(B:B,B184,C:C)*60)+SUMIF(B:B,B184,D:D),60),"00")&amp;" min"))</f>
        <v/>
      </c>
    </row>
    <row r="185" ht="17.18">
      <c r="A185" s="61" t="str">
        <f>IF(ISBLANK(B185),"",_xlfn.ISOWEEKNUM('Journal de travail'!$B185))</f>
        <v/>
      </c>
      <c r="B185" s="32"/>
      <c r="C185" s="33"/>
      <c r="D185" s="34"/>
      <c r="E185" s="35"/>
      <c r="F185" s="38"/>
      <c r="G185" s="38"/>
      <c r="H185" t="str">
        <f>IF(OR(ISBLANK(B185),B185=""),"",IF(B185=B184,"",INT(((SUMIF(B:B,B185,C:C)*60)+SUMIF(B:B,B185,D:D))/60)&amp;" h "&amp;TEXT(MOD((SUMIF(B:B,B185,C:C)*60)+SUMIF(B:B,B185,D:D),60),"00")&amp;" min"))</f>
        <v/>
      </c>
    </row>
    <row r="186" ht="17.18">
      <c r="A186" s="60" t="str">
        <f>IF(ISBLANK(B186),"",_xlfn.ISOWEEKNUM('Journal de travail'!$B186))</f>
        <v/>
      </c>
      <c r="B186" s="28"/>
      <c r="C186" s="29"/>
      <c r="D186" s="30"/>
      <c r="E186" s="31"/>
      <c r="F186" s="37"/>
      <c r="G186" s="37"/>
      <c r="H186" t="str">
        <f>IF(OR(ISBLANK(B186),B186=""),"",IF(B186=B185,"",INT(((SUMIF(B:B,B186,C:C)*60)+SUMIF(B:B,B186,D:D))/60)&amp;" h "&amp;TEXT(MOD((SUMIF(B:B,B186,C:C)*60)+SUMIF(B:B,B186,D:D),60),"00")&amp;" min"))</f>
        <v/>
      </c>
    </row>
    <row r="187" ht="17.18">
      <c r="A187" s="61" t="str">
        <f>IF(ISBLANK(B187),"",_xlfn.ISOWEEKNUM('Journal de travail'!$B187))</f>
        <v/>
      </c>
      <c r="B187" s="32"/>
      <c r="C187" s="33"/>
      <c r="D187" s="34"/>
      <c r="E187" s="35"/>
      <c r="F187" s="38"/>
      <c r="G187" s="38"/>
      <c r="H187" t="str">
        <f>IF(OR(ISBLANK(B187),B187=""),"",IF(B187=B186,"",INT(((SUMIF(B:B,B187,C:C)*60)+SUMIF(B:B,B187,D:D))/60)&amp;" h "&amp;TEXT(MOD((SUMIF(B:B,B187,C:C)*60)+SUMIF(B:B,B187,D:D),60),"00")&amp;" min"))</f>
        <v/>
      </c>
    </row>
    <row r="188" ht="17.18">
      <c r="A188" s="60" t="str">
        <f>IF(ISBLANK(B188),"",_xlfn.ISOWEEKNUM('Journal de travail'!$B188))</f>
        <v/>
      </c>
      <c r="B188" s="28"/>
      <c r="C188" s="29"/>
      <c r="D188" s="30"/>
      <c r="E188" s="31"/>
      <c r="F188" s="37"/>
      <c r="G188" s="37"/>
      <c r="H188" t="str">
        <f>IF(OR(ISBLANK(B188),B188=""),"",IF(B188=B187,"",INT(((SUMIF(B:B,B188,C:C)*60)+SUMIF(B:B,B188,D:D))/60)&amp;" h "&amp;TEXT(MOD((SUMIF(B:B,B188,C:C)*60)+SUMIF(B:B,B188,D:D),60),"00")&amp;" min"))</f>
        <v/>
      </c>
    </row>
    <row r="189" ht="17.18">
      <c r="A189" s="61" t="str">
        <f>IF(ISBLANK(B189),"",_xlfn.ISOWEEKNUM('Journal de travail'!$B189))</f>
        <v/>
      </c>
      <c r="B189" s="32"/>
      <c r="C189" s="33"/>
      <c r="D189" s="34"/>
      <c r="E189" s="35"/>
      <c r="F189" s="38"/>
      <c r="G189" s="38"/>
      <c r="H189" t="str">
        <f>IF(OR(ISBLANK(B189),B189=""),"",IF(B189=B188,"",INT(((SUMIF(B:B,B189,C:C)*60)+SUMIF(B:B,B189,D:D))/60)&amp;" h "&amp;TEXT(MOD((SUMIF(B:B,B189,C:C)*60)+SUMIF(B:B,B189,D:D),60),"00")&amp;" min"))</f>
        <v/>
      </c>
    </row>
    <row r="190" ht="17.18">
      <c r="A190" s="60" t="str">
        <f>IF(ISBLANK(B190),"",_xlfn.ISOWEEKNUM('Journal de travail'!$B190))</f>
        <v/>
      </c>
      <c r="B190" s="28"/>
      <c r="C190" s="29"/>
      <c r="D190" s="30"/>
      <c r="E190" s="31"/>
      <c r="F190" s="37"/>
      <c r="G190" s="37"/>
      <c r="H190" t="str">
        <f>IF(OR(ISBLANK(B190),B190=""),"",IF(B190=B189,"",INT(((SUMIF(B:B,B190,C:C)*60)+SUMIF(B:B,B190,D:D))/60)&amp;" h "&amp;TEXT(MOD((SUMIF(B:B,B190,C:C)*60)+SUMIF(B:B,B190,D:D),60),"00")&amp;" min"))</f>
        <v/>
      </c>
    </row>
    <row r="191" ht="17.18">
      <c r="A191" s="61" t="str">
        <f>IF(ISBLANK(B191),"",_xlfn.ISOWEEKNUM('Journal de travail'!$B191))</f>
        <v/>
      </c>
      <c r="B191" s="32"/>
      <c r="C191" s="33"/>
      <c r="D191" s="34"/>
      <c r="E191" s="35"/>
      <c r="F191" s="38"/>
      <c r="G191" s="38"/>
      <c r="H191" t="str">
        <f>IF(OR(ISBLANK(B191),B191=""),"",IF(B191=B190,"",INT(((SUMIF(B:B,B191,C:C)*60)+SUMIF(B:B,B191,D:D))/60)&amp;" h "&amp;TEXT(MOD((SUMIF(B:B,B191,C:C)*60)+SUMIF(B:B,B191,D:D),60),"00")&amp;" min"))</f>
        <v/>
      </c>
    </row>
    <row r="192" ht="17.18">
      <c r="A192" s="60" t="str">
        <f>IF(ISBLANK(B192),"",_xlfn.ISOWEEKNUM('Journal de travail'!$B192))</f>
        <v/>
      </c>
      <c r="B192" s="28"/>
      <c r="C192" s="29"/>
      <c r="D192" s="30"/>
      <c r="E192" s="31"/>
      <c r="F192" s="37"/>
      <c r="G192" s="37"/>
      <c r="H192" t="str">
        <f>IF(OR(ISBLANK(B192),B192=""),"",IF(B192=B191,"",INT(((SUMIF(B:B,B192,C:C)*60)+SUMIF(B:B,B192,D:D))/60)&amp;" h "&amp;TEXT(MOD((SUMIF(B:B,B192,C:C)*60)+SUMIF(B:B,B192,D:D),60),"00")&amp;" min"))</f>
        <v/>
      </c>
    </row>
    <row r="193" ht="17.18">
      <c r="A193" s="61" t="str">
        <f>IF(ISBLANK(B193),"",_xlfn.ISOWEEKNUM('Journal de travail'!$B193))</f>
        <v/>
      </c>
      <c r="B193" s="32"/>
      <c r="C193" s="33"/>
      <c r="D193" s="34"/>
      <c r="E193" s="35"/>
      <c r="F193" s="38"/>
      <c r="G193" s="38"/>
      <c r="H193" t="str">
        <f>IF(OR(ISBLANK(B193),B193=""),"",IF(B193=B192,"",INT(((SUMIF(B:B,B193,C:C)*60)+SUMIF(B:B,B193,D:D))/60)&amp;" h "&amp;TEXT(MOD((SUMIF(B:B,B193,C:C)*60)+SUMIF(B:B,B193,D:D),60),"00")&amp;" min"))</f>
        <v/>
      </c>
    </row>
    <row r="194" ht="17.18">
      <c r="A194" s="60" t="str">
        <f>IF(ISBLANK(B194),"",_xlfn.ISOWEEKNUM('Journal de travail'!$B194))</f>
        <v/>
      </c>
      <c r="B194" s="28"/>
      <c r="C194" s="29"/>
      <c r="D194" s="30"/>
      <c r="E194" s="31"/>
      <c r="F194" s="37"/>
      <c r="G194" s="37"/>
      <c r="H194" t="str">
        <f>IF(OR(ISBLANK(B194),B194=""),"",IF(B194=B193,"",INT(((SUMIF(B:B,B194,C:C)*60)+SUMIF(B:B,B194,D:D))/60)&amp;" h "&amp;TEXT(MOD((SUMIF(B:B,B194,C:C)*60)+SUMIF(B:B,B194,D:D),60),"00")&amp;" min"))</f>
        <v/>
      </c>
    </row>
    <row r="195" ht="17.18">
      <c r="A195" s="61" t="str">
        <f>IF(ISBLANK(B195),"",_xlfn.ISOWEEKNUM('Journal de travail'!$B195))</f>
        <v/>
      </c>
      <c r="B195" s="32"/>
      <c r="C195" s="33"/>
      <c r="D195" s="34"/>
      <c r="E195" s="35"/>
      <c r="F195" s="38"/>
      <c r="G195" s="38"/>
      <c r="H195" t="str">
        <f>IF(OR(ISBLANK(B195),B195=""),"",IF(B195=B194,"",INT(((SUMIF(B:B,B195,C:C)*60)+SUMIF(B:B,B195,D:D))/60)&amp;" h "&amp;TEXT(MOD((SUMIF(B:B,B195,C:C)*60)+SUMIF(B:B,B195,D:D),60),"00")&amp;" min"))</f>
        <v/>
      </c>
    </row>
    <row r="196" ht="17.18">
      <c r="A196" s="60" t="str">
        <f>IF(ISBLANK(B196),"",_xlfn.ISOWEEKNUM('Journal de travail'!$B196))</f>
        <v/>
      </c>
      <c r="B196" s="28"/>
      <c r="C196" s="29"/>
      <c r="D196" s="30"/>
      <c r="E196" s="31"/>
      <c r="F196" s="37"/>
      <c r="G196" s="37"/>
      <c r="H196" t="str">
        <f>IF(OR(ISBLANK(B196),B196=""),"",IF(B196=B195,"",INT(((SUMIF(B:B,B196,C:C)*60)+SUMIF(B:B,B196,D:D))/60)&amp;" h "&amp;TEXT(MOD((SUMIF(B:B,B196,C:C)*60)+SUMIF(B:B,B196,D:D),60),"00")&amp;" min"))</f>
        <v/>
      </c>
    </row>
    <row r="197" ht="17.18">
      <c r="A197" s="61" t="str">
        <f>IF(ISBLANK(B197),"",_xlfn.ISOWEEKNUM('Journal de travail'!$B197))</f>
        <v/>
      </c>
      <c r="B197" s="32"/>
      <c r="C197" s="33"/>
      <c r="D197" s="34"/>
      <c r="E197" s="35"/>
      <c r="F197" s="38"/>
      <c r="G197" s="38"/>
      <c r="H197" t="str">
        <f>IF(OR(ISBLANK(B197),B197=""),"",IF(B197=B196,"",INT(((SUMIF(B:B,B197,C:C)*60)+SUMIF(B:B,B197,D:D))/60)&amp;" h "&amp;TEXT(MOD((SUMIF(B:B,B197,C:C)*60)+SUMIF(B:B,B197,D:D),60),"00")&amp;" min"))</f>
        <v/>
      </c>
    </row>
    <row r="198" ht="17.18">
      <c r="A198" s="60" t="str">
        <f>IF(ISBLANK(B198),"",_xlfn.ISOWEEKNUM('Journal de travail'!$B198))</f>
        <v/>
      </c>
      <c r="B198" s="28"/>
      <c r="C198" s="29"/>
      <c r="D198" s="30"/>
      <c r="E198" s="31"/>
      <c r="F198" s="37"/>
      <c r="G198" s="37"/>
      <c r="H198" t="str">
        <f>IF(OR(ISBLANK(B198),B198=""),"",IF(B198=B197,"",INT(((SUMIF(B:B,B198,C:C)*60)+SUMIF(B:B,B198,D:D))/60)&amp;" h "&amp;TEXT(MOD((SUMIF(B:B,B198,C:C)*60)+SUMIF(B:B,B198,D:D),60),"00")&amp;" min"))</f>
        <v/>
      </c>
    </row>
    <row r="199" ht="17.18">
      <c r="A199" s="61" t="str">
        <f>IF(ISBLANK(B199),"",_xlfn.ISOWEEKNUM('Journal de travail'!$B199))</f>
        <v/>
      </c>
      <c r="B199" s="32"/>
      <c r="C199" s="33"/>
      <c r="D199" s="34"/>
      <c r="E199" s="35"/>
      <c r="F199" s="38"/>
      <c r="G199" s="38"/>
      <c r="H199" t="str">
        <f>IF(OR(ISBLANK(B199),B199=""),"",IF(B199=B198,"",INT(((SUMIF(B:B,B199,C:C)*60)+SUMIF(B:B,B199,D:D))/60)&amp;" h "&amp;TEXT(MOD((SUMIF(B:B,B199,C:C)*60)+SUMIF(B:B,B199,D:D),60),"00")&amp;" min"))</f>
        <v/>
      </c>
    </row>
    <row r="200" ht="17.18">
      <c r="A200" s="60" t="str">
        <f>IF(ISBLANK(B200),"",_xlfn.ISOWEEKNUM('Journal de travail'!$B200))</f>
        <v/>
      </c>
      <c r="B200" s="28"/>
      <c r="C200" s="29"/>
      <c r="D200" s="30"/>
      <c r="E200" s="31"/>
      <c r="F200" s="37"/>
      <c r="G200" s="37"/>
      <c r="H200" t="str">
        <f>IF(OR(ISBLANK(B200),B200=""),"",IF(B200=B199,"",INT(((SUMIF(B:B,B200,C:C)*60)+SUMIF(B:B,B200,D:D))/60)&amp;" h "&amp;TEXT(MOD((SUMIF(B:B,B200,C:C)*60)+SUMIF(B:B,B200,D:D),60),"00")&amp;" min"))</f>
        <v/>
      </c>
    </row>
    <row r="201" ht="17.18">
      <c r="A201" s="61" t="str">
        <f>IF(ISBLANK(B201),"",_xlfn.ISOWEEKNUM('Journal de travail'!$B201))</f>
        <v/>
      </c>
      <c r="B201" s="32"/>
      <c r="C201" s="33"/>
      <c r="D201" s="34"/>
      <c r="E201" s="35"/>
      <c r="F201" s="38"/>
      <c r="G201" s="38"/>
      <c r="H201" t="str">
        <f>IF(OR(ISBLANK(B201),B201=""),"",IF(B201=B200,"",INT(((SUMIF(B:B,B201,C:C)*60)+SUMIF(B:B,B201,D:D))/60)&amp;" h "&amp;TEXT(MOD((SUMIF(B:B,B201,C:C)*60)+SUMIF(B:B,B201,D:D),60),"00")&amp;" min"))</f>
        <v/>
      </c>
    </row>
    <row r="202" ht="17.18">
      <c r="A202" s="60" t="str">
        <f>IF(ISBLANK(B202),"",_xlfn.ISOWEEKNUM('Journal de travail'!$B202))</f>
        <v/>
      </c>
      <c r="B202" s="28"/>
      <c r="C202" s="29"/>
      <c r="D202" s="30"/>
      <c r="E202" s="31"/>
      <c r="F202" s="37"/>
      <c r="G202" s="37"/>
      <c r="H202" t="str">
        <f>IF(OR(ISBLANK(B202),B202=""),"",IF(B202=B201,"",INT(((SUMIF(B:B,B202,C:C)*60)+SUMIF(B:B,B202,D:D))/60)&amp;" h "&amp;TEXT(MOD((SUMIF(B:B,B202,C:C)*60)+SUMIF(B:B,B202,D:D),60),"00")&amp;" min"))</f>
        <v/>
      </c>
    </row>
    <row r="203" ht="17.18">
      <c r="A203" s="61" t="str">
        <f>IF(ISBLANK(B203),"",_xlfn.ISOWEEKNUM('Journal de travail'!$B203))</f>
        <v/>
      </c>
      <c r="B203" s="32"/>
      <c r="C203" s="33"/>
      <c r="D203" s="34"/>
      <c r="E203" s="35"/>
      <c r="F203" s="38"/>
      <c r="G203" s="38"/>
      <c r="H203" t="str">
        <f>IF(OR(ISBLANK(B203),B203=""),"",IF(B203=B202,"",INT(((SUMIF(B:B,B203,C:C)*60)+SUMIF(B:B,B203,D:D))/60)&amp;" h "&amp;TEXT(MOD((SUMIF(B:B,B203,C:C)*60)+SUMIF(B:B,B203,D:D),60),"00")&amp;" min"))</f>
        <v/>
      </c>
    </row>
    <row r="204" ht="17.18">
      <c r="A204" s="60" t="str">
        <f>IF(ISBLANK(B204),"",_xlfn.ISOWEEKNUM('Journal de travail'!$B204))</f>
        <v/>
      </c>
      <c r="B204" s="28"/>
      <c r="C204" s="29"/>
      <c r="D204" s="30"/>
      <c r="E204" s="31"/>
      <c r="F204" s="37"/>
      <c r="G204" s="37"/>
      <c r="H204" t="str">
        <f>IF(OR(ISBLANK(B204),B204=""),"",IF(B204=B203,"",INT(((SUMIF(B:B,B204,C:C)*60)+SUMIF(B:B,B204,D:D))/60)&amp;" h "&amp;TEXT(MOD((SUMIF(B:B,B204,C:C)*60)+SUMIF(B:B,B204,D:D),60),"00")&amp;" min"))</f>
        <v/>
      </c>
    </row>
    <row r="205" ht="17.18">
      <c r="A205" s="61" t="str">
        <f>IF(ISBLANK(B205),"",_xlfn.ISOWEEKNUM('Journal de travail'!$B205))</f>
        <v/>
      </c>
      <c r="B205" s="32"/>
      <c r="C205" s="33"/>
      <c r="D205" s="34"/>
      <c r="E205" s="35"/>
      <c r="F205" s="38"/>
      <c r="G205" s="38"/>
      <c r="H205" t="str">
        <f>IF(OR(ISBLANK(B205),B205=""),"",IF(B205=B204,"",INT(((SUMIF(B:B,B205,C:C)*60)+SUMIF(B:B,B205,D:D))/60)&amp;" h "&amp;TEXT(MOD((SUMIF(B:B,B205,C:C)*60)+SUMIF(B:B,B205,D:D),60),"00")&amp;" min"))</f>
        <v/>
      </c>
    </row>
    <row r="206" ht="17.18">
      <c r="A206" s="60" t="str">
        <f>IF(ISBLANK(B206),"",_xlfn.ISOWEEKNUM('Journal de travail'!$B206))</f>
        <v/>
      </c>
      <c r="B206" s="28"/>
      <c r="C206" s="29"/>
      <c r="D206" s="30"/>
      <c r="E206" s="31"/>
      <c r="F206" s="37"/>
      <c r="G206" s="37"/>
      <c r="H206" t="str">
        <f>IF(OR(ISBLANK(B206),B206=""),"",IF(B206=B205,"",INT(((SUMIF(B:B,B206,C:C)*60)+SUMIF(B:B,B206,D:D))/60)&amp;" h "&amp;TEXT(MOD((SUMIF(B:B,B206,C:C)*60)+SUMIF(B:B,B206,D:D),60),"00")&amp;" min"))</f>
        <v/>
      </c>
    </row>
    <row r="207" ht="17.18">
      <c r="A207" s="61" t="str">
        <f>IF(ISBLANK(B207),"",_xlfn.ISOWEEKNUM('Journal de travail'!$B207))</f>
        <v/>
      </c>
      <c r="B207" s="32"/>
      <c r="C207" s="33"/>
      <c r="D207" s="34"/>
      <c r="E207" s="35"/>
      <c r="F207" s="38"/>
      <c r="G207" s="38"/>
      <c r="H207" t="str">
        <f>IF(OR(ISBLANK(B207),B207=""),"",IF(B207=B206,"",INT(((SUMIF(B:B,B207,C:C)*60)+SUMIF(B:B,B207,D:D))/60)&amp;" h "&amp;TEXT(MOD((SUMIF(B:B,B207,C:C)*60)+SUMIF(B:B,B207,D:D),60),"00")&amp;" min"))</f>
        <v/>
      </c>
    </row>
    <row r="208" ht="17.18">
      <c r="A208" s="60" t="str">
        <f>IF(ISBLANK(B208),"",_xlfn.ISOWEEKNUM('Journal de travail'!$B208))</f>
        <v/>
      </c>
      <c r="B208" s="28"/>
      <c r="C208" s="29"/>
      <c r="D208" s="30"/>
      <c r="E208" s="31"/>
      <c r="F208" s="37"/>
      <c r="G208" s="37"/>
      <c r="H208" t="str">
        <f>IF(OR(ISBLANK(B208),B208=""),"",IF(B208=B207,"",INT(((SUMIF(B:B,B208,C:C)*60)+SUMIF(B:B,B208,D:D))/60)&amp;" h "&amp;TEXT(MOD((SUMIF(B:B,B208,C:C)*60)+SUMIF(B:B,B208,D:D),60),"00")&amp;" min"))</f>
        <v/>
      </c>
    </row>
    <row r="209" ht="17.18">
      <c r="A209" s="61" t="str">
        <f>IF(ISBLANK(B209),"",_xlfn.ISOWEEKNUM('Journal de travail'!$B209))</f>
        <v/>
      </c>
      <c r="B209" s="32"/>
      <c r="C209" s="33"/>
      <c r="D209" s="34"/>
      <c r="E209" s="35"/>
      <c r="F209" s="38"/>
      <c r="G209" s="38"/>
      <c r="H209" t="str">
        <f>IF(OR(ISBLANK(B209),B209=""),"",IF(B209=B208,"",INT(((SUMIF(B:B,B209,C:C)*60)+SUMIF(B:B,B209,D:D))/60)&amp;" h "&amp;TEXT(MOD((SUMIF(B:B,B209,C:C)*60)+SUMIF(B:B,B209,D:D),60),"00")&amp;" min"))</f>
        <v/>
      </c>
    </row>
    <row r="210" ht="17.18">
      <c r="A210" s="60" t="str">
        <f>IF(ISBLANK(B210),"",_xlfn.ISOWEEKNUM('Journal de travail'!$B210))</f>
        <v/>
      </c>
      <c r="B210" s="28"/>
      <c r="C210" s="29"/>
      <c r="D210" s="30"/>
      <c r="E210" s="31"/>
      <c r="F210" s="37"/>
      <c r="G210" s="37"/>
      <c r="H210" t="str">
        <f>IF(OR(ISBLANK(B210),B210=""),"",IF(B210=B209,"",INT(((SUMIF(B:B,B210,C:C)*60)+SUMIF(B:B,B210,D:D))/60)&amp;" h "&amp;TEXT(MOD((SUMIF(B:B,B210,C:C)*60)+SUMIF(B:B,B210,D:D),60),"00")&amp;" min"))</f>
        <v/>
      </c>
    </row>
    <row r="211" ht="17.18">
      <c r="A211" s="61" t="str">
        <f>IF(ISBLANK(B211),"",_xlfn.ISOWEEKNUM('Journal de travail'!$B211))</f>
        <v/>
      </c>
      <c r="B211" s="32"/>
      <c r="C211" s="33"/>
      <c r="D211" s="34"/>
      <c r="E211" s="35"/>
      <c r="F211" s="38"/>
      <c r="G211" s="38"/>
      <c r="H211" t="str">
        <f>IF(OR(ISBLANK(B211),B211=""),"",IF(B211=B210,"",INT(((SUMIF(B:B,B211,C:C)*60)+SUMIF(B:B,B211,D:D))/60)&amp;" h "&amp;TEXT(MOD((SUMIF(B:B,B211,C:C)*60)+SUMIF(B:B,B211,D:D),60),"00")&amp;" min"))</f>
        <v/>
      </c>
    </row>
    <row r="212" ht="17.18">
      <c r="A212" s="60" t="str">
        <f>IF(ISBLANK(B212),"",_xlfn.ISOWEEKNUM('Journal de travail'!$B212))</f>
        <v/>
      </c>
      <c r="B212" s="28"/>
      <c r="C212" s="29"/>
      <c r="D212" s="30"/>
      <c r="E212" s="31"/>
      <c r="F212" s="37"/>
      <c r="G212" s="37"/>
      <c r="H212" t="str">
        <f>IF(OR(ISBLANK(B212),B212=""),"",IF(B212=B211,"",INT(((SUMIF(B:B,B212,C:C)*60)+SUMIF(B:B,B212,D:D))/60)&amp;" h "&amp;TEXT(MOD((SUMIF(B:B,B212,C:C)*60)+SUMIF(B:B,B212,D:D),60),"00")&amp;" min"))</f>
        <v/>
      </c>
    </row>
    <row r="213" ht="17.18">
      <c r="A213" s="61" t="str">
        <f>IF(ISBLANK(B213),"",_xlfn.ISOWEEKNUM('Journal de travail'!$B213))</f>
        <v/>
      </c>
      <c r="B213" s="32"/>
      <c r="C213" s="33"/>
      <c r="D213" s="34"/>
      <c r="E213" s="35"/>
      <c r="F213" s="38"/>
      <c r="G213" s="38"/>
      <c r="H213" t="str">
        <f>IF(OR(ISBLANK(B213),B213=""),"",IF(B213=B212,"",INT(((SUMIF(B:B,B213,C:C)*60)+SUMIF(B:B,B213,D:D))/60)&amp;" h "&amp;TEXT(MOD((SUMIF(B:B,B213,C:C)*60)+SUMIF(B:B,B213,D:D),60),"00")&amp;" min"))</f>
        <v/>
      </c>
    </row>
    <row r="214" ht="17.18">
      <c r="A214" s="60" t="str">
        <f>IF(ISBLANK(B214),"",_xlfn.ISOWEEKNUM('Journal de travail'!$B214))</f>
        <v/>
      </c>
      <c r="B214" s="28"/>
      <c r="C214" s="29"/>
      <c r="D214" s="30"/>
      <c r="E214" s="31"/>
      <c r="F214" s="37"/>
      <c r="G214" s="37"/>
      <c r="H214" t="str">
        <f>IF(OR(ISBLANK(B214),B214=""),"",IF(B214=B213,"",INT(((SUMIF(B:B,B214,C:C)*60)+SUMIF(B:B,B214,D:D))/60)&amp;" h "&amp;TEXT(MOD((SUMIF(B:B,B214,C:C)*60)+SUMIF(B:B,B214,D:D),60),"00")&amp;" min"))</f>
        <v/>
      </c>
    </row>
    <row r="215" ht="17.18">
      <c r="A215" s="61" t="str">
        <f>IF(ISBLANK(B215),"",_xlfn.ISOWEEKNUM('Journal de travail'!$B215))</f>
        <v/>
      </c>
      <c r="B215" s="32"/>
      <c r="C215" s="33"/>
      <c r="D215" s="34"/>
      <c r="E215" s="35"/>
      <c r="F215" s="38"/>
      <c r="G215" s="38"/>
      <c r="H215" t="str">
        <f>IF(OR(ISBLANK(B215),B215=""),"",IF(B215=B214,"",INT(((SUMIF(B:B,B215,C:C)*60)+SUMIF(B:B,B215,D:D))/60)&amp;" h "&amp;TEXT(MOD((SUMIF(B:B,B215,C:C)*60)+SUMIF(B:B,B215,D:D),60),"00")&amp;" min"))</f>
        <v/>
      </c>
    </row>
    <row r="216" ht="17.18">
      <c r="A216" s="60" t="str">
        <f>IF(ISBLANK(B216),"",_xlfn.ISOWEEKNUM('Journal de travail'!$B216))</f>
        <v/>
      </c>
      <c r="B216" s="28"/>
      <c r="C216" s="29"/>
      <c r="D216" s="30"/>
      <c r="E216" s="31"/>
      <c r="F216" s="37"/>
      <c r="G216" s="37"/>
      <c r="H216" t="str">
        <f>IF(OR(ISBLANK(B216),B216=""),"",IF(B216=B215,"",INT(((SUMIF(B:B,B216,C:C)*60)+SUMIF(B:B,B216,D:D))/60)&amp;" h "&amp;TEXT(MOD((SUMIF(B:B,B216,C:C)*60)+SUMIF(B:B,B216,D:D),60),"00")&amp;" min"))</f>
        <v/>
      </c>
    </row>
    <row r="217" ht="17.18">
      <c r="A217" s="61" t="str">
        <f>IF(ISBLANK(B217),"",_xlfn.ISOWEEKNUM('Journal de travail'!$B217))</f>
        <v/>
      </c>
      <c r="B217" s="32"/>
      <c r="C217" s="33"/>
      <c r="D217" s="34"/>
      <c r="E217" s="35"/>
      <c r="F217" s="38"/>
      <c r="G217" s="38"/>
      <c r="H217" t="str">
        <f>IF(OR(ISBLANK(B217),B217=""),"",IF(B217=B216,"",INT(((SUMIF(B:B,B217,C:C)*60)+SUMIF(B:B,B217,D:D))/60)&amp;" h "&amp;TEXT(MOD((SUMIF(B:B,B217,C:C)*60)+SUMIF(B:B,B217,D:D),60),"00")&amp;" min"))</f>
        <v/>
      </c>
    </row>
    <row r="218" ht="17.18">
      <c r="A218" s="60" t="str">
        <f>IF(ISBLANK(B218),"",_xlfn.ISOWEEKNUM('Journal de travail'!$B218))</f>
        <v/>
      </c>
      <c r="B218" s="28"/>
      <c r="C218" s="29"/>
      <c r="D218" s="30"/>
      <c r="E218" s="31"/>
      <c r="F218" s="37"/>
      <c r="G218" s="37"/>
      <c r="H218" t="str">
        <f>IF(OR(ISBLANK(B218),B218=""),"",IF(B218=B217,"",INT(((SUMIF(B:B,B218,C:C)*60)+SUMIF(B:B,B218,D:D))/60)&amp;" h "&amp;TEXT(MOD((SUMIF(B:B,B218,C:C)*60)+SUMIF(B:B,B218,D:D),60),"00")&amp;" min"))</f>
        <v/>
      </c>
    </row>
    <row r="219" ht="17.18">
      <c r="A219" s="61" t="str">
        <f>IF(ISBLANK(B219),"",_xlfn.ISOWEEKNUM('Journal de travail'!$B219))</f>
        <v/>
      </c>
      <c r="B219" s="32"/>
      <c r="C219" s="33"/>
      <c r="D219" s="34"/>
      <c r="E219" s="35"/>
      <c r="F219" s="38"/>
      <c r="G219" s="38"/>
      <c r="H219" t="str">
        <f>IF(OR(ISBLANK(B219),B219=""),"",IF(B219=B218,"",INT(((SUMIF(B:B,B219,C:C)*60)+SUMIF(B:B,B219,D:D))/60)&amp;" h "&amp;TEXT(MOD((SUMIF(B:B,B219,C:C)*60)+SUMIF(B:B,B219,D:D),60),"00")&amp;" min"))</f>
        <v/>
      </c>
    </row>
    <row r="220" ht="17.18">
      <c r="A220" s="60" t="str">
        <f>IF(ISBLANK(B220),"",_xlfn.ISOWEEKNUM('Journal de travail'!$B220))</f>
        <v/>
      </c>
      <c r="B220" s="28"/>
      <c r="C220" s="29"/>
      <c r="D220" s="30"/>
      <c r="E220" s="31"/>
      <c r="F220" s="37"/>
      <c r="G220" s="37"/>
      <c r="H220" t="str">
        <f>IF(OR(ISBLANK(B220),B220=""),"",IF(B220=B219,"",INT(((SUMIF(B:B,B220,C:C)*60)+SUMIF(B:B,B220,D:D))/60)&amp;" h "&amp;TEXT(MOD((SUMIF(B:B,B220,C:C)*60)+SUMIF(B:B,B220,D:D),60),"00")&amp;" min"))</f>
        <v/>
      </c>
    </row>
    <row r="221" ht="17.18">
      <c r="A221" s="61" t="str">
        <f>IF(ISBLANK(B221),"",_xlfn.ISOWEEKNUM('Journal de travail'!$B221))</f>
        <v/>
      </c>
      <c r="B221" s="32"/>
      <c r="C221" s="33"/>
      <c r="D221" s="34"/>
      <c r="E221" s="35"/>
      <c r="F221" s="38"/>
      <c r="G221" s="38"/>
      <c r="H221" t="str">
        <f>IF(OR(ISBLANK(B221),B221=""),"",IF(B221=B220,"",INT(((SUMIF(B:B,B221,C:C)*60)+SUMIF(B:B,B221,D:D))/60)&amp;" h "&amp;TEXT(MOD((SUMIF(B:B,B221,C:C)*60)+SUMIF(B:B,B221,D:D),60),"00")&amp;" min"))</f>
        <v/>
      </c>
    </row>
    <row r="222" ht="17.18">
      <c r="A222" s="60" t="str">
        <f>IF(ISBLANK(B222),"",_xlfn.ISOWEEKNUM('Journal de travail'!$B222))</f>
        <v/>
      </c>
      <c r="B222" s="28"/>
      <c r="C222" s="29"/>
      <c r="D222" s="30"/>
      <c r="E222" s="31"/>
      <c r="F222" s="37"/>
      <c r="G222" s="37"/>
      <c r="H222" t="str">
        <f>IF(OR(ISBLANK(B222),B222=""),"",IF(B222=B221,"",INT(((SUMIF(B:B,B222,C:C)*60)+SUMIF(B:B,B222,D:D))/60)&amp;" h "&amp;TEXT(MOD((SUMIF(B:B,B222,C:C)*60)+SUMIF(B:B,B222,D:D),60),"00")&amp;" min"))</f>
        <v/>
      </c>
    </row>
    <row r="223" ht="17.18">
      <c r="A223" s="61" t="str">
        <f>IF(ISBLANK(B223),"",_xlfn.ISOWEEKNUM('Journal de travail'!$B223))</f>
        <v/>
      </c>
      <c r="B223" s="32"/>
      <c r="C223" s="33"/>
      <c r="D223" s="34"/>
      <c r="E223" s="35"/>
      <c r="F223" s="38"/>
      <c r="G223" s="38"/>
      <c r="H223" t="str">
        <f>IF(OR(ISBLANK(B223),B223=""),"",IF(B223=B222,"",INT(((SUMIF(B:B,B223,C:C)*60)+SUMIF(B:B,B223,D:D))/60)&amp;" h "&amp;TEXT(MOD((SUMIF(B:B,B223,C:C)*60)+SUMIF(B:B,B223,D:D),60),"00")&amp;" min"))</f>
        <v/>
      </c>
    </row>
    <row r="224" ht="17.18">
      <c r="A224" s="60" t="str">
        <f>IF(ISBLANK(B224),"",_xlfn.ISOWEEKNUM('Journal de travail'!$B224))</f>
        <v/>
      </c>
      <c r="B224" s="28"/>
      <c r="C224" s="29"/>
      <c r="D224" s="30"/>
      <c r="E224" s="31"/>
      <c r="F224" s="37"/>
      <c r="G224" s="37"/>
      <c r="H224" t="str">
        <f>IF(OR(ISBLANK(B224),B224=""),"",IF(B224=B223,"",INT(((SUMIF(B:B,B224,C:C)*60)+SUMIF(B:B,B224,D:D))/60)&amp;" h "&amp;TEXT(MOD((SUMIF(B:B,B224,C:C)*60)+SUMIF(B:B,B224,D:D),60),"00")&amp;" min"))</f>
        <v/>
      </c>
    </row>
    <row r="225" ht="17.18">
      <c r="A225" s="61" t="str">
        <f>IF(ISBLANK(B225),"",_xlfn.ISOWEEKNUM('Journal de travail'!$B225))</f>
        <v/>
      </c>
      <c r="B225" s="32"/>
      <c r="C225" s="33"/>
      <c r="D225" s="34"/>
      <c r="E225" s="35"/>
      <c r="F225" s="38"/>
      <c r="G225" s="38"/>
      <c r="H225" t="str">
        <f>IF(OR(ISBLANK(B225),B225=""),"",IF(B225=B224,"",INT(((SUMIF(B:B,B225,C:C)*60)+SUMIF(B:B,B225,D:D))/60)&amp;" h "&amp;TEXT(MOD((SUMIF(B:B,B225,C:C)*60)+SUMIF(B:B,B225,D:D),60),"00")&amp;" min"))</f>
        <v/>
      </c>
    </row>
    <row r="226" ht="17.18">
      <c r="A226" s="60" t="str">
        <f>IF(ISBLANK(B226),"",_xlfn.ISOWEEKNUM('Journal de travail'!$B226))</f>
        <v/>
      </c>
      <c r="B226" s="28"/>
      <c r="C226" s="29"/>
      <c r="D226" s="30"/>
      <c r="E226" s="31"/>
      <c r="F226" s="37"/>
      <c r="G226" s="37"/>
      <c r="H226" t="str">
        <f>IF(OR(ISBLANK(B226),B226=""),"",IF(B226=B225,"",INT(((SUMIF(B:B,B226,C:C)*60)+SUMIF(B:B,B226,D:D))/60)&amp;" h "&amp;TEXT(MOD((SUMIF(B:B,B226,C:C)*60)+SUMIF(B:B,B226,D:D),60),"00")&amp;" min"))</f>
        <v/>
      </c>
    </row>
    <row r="227" ht="17.18">
      <c r="A227" s="61" t="str">
        <f>IF(ISBLANK(B227),"",_xlfn.ISOWEEKNUM('Journal de travail'!$B227))</f>
        <v/>
      </c>
      <c r="B227" s="32"/>
      <c r="C227" s="33"/>
      <c r="D227" s="34"/>
      <c r="E227" s="35"/>
      <c r="F227" s="38"/>
      <c r="G227" s="38"/>
      <c r="H227" t="str">
        <f>IF(OR(ISBLANK(B227),B227=""),"",IF(B227=B226,"",INT(((SUMIF(B:B,B227,C:C)*60)+SUMIF(B:B,B227,D:D))/60)&amp;" h "&amp;TEXT(MOD((SUMIF(B:B,B227,C:C)*60)+SUMIF(B:B,B227,D:D),60),"00")&amp;" min"))</f>
        <v/>
      </c>
    </row>
    <row r="228" ht="17.18">
      <c r="A228" s="60" t="str">
        <f>IF(ISBLANK(B228),"",_xlfn.ISOWEEKNUM('Journal de travail'!$B228))</f>
        <v/>
      </c>
      <c r="B228" s="28"/>
      <c r="C228" s="29"/>
      <c r="D228" s="30"/>
      <c r="E228" s="31"/>
      <c r="F228" s="37"/>
      <c r="G228" s="37"/>
      <c r="H228" t="str">
        <f>IF(OR(ISBLANK(B228),B228=""),"",IF(B228=B227,"",INT(((SUMIF(B:B,B228,C:C)*60)+SUMIF(B:B,B228,D:D))/60)&amp;" h "&amp;TEXT(MOD((SUMIF(B:B,B228,C:C)*60)+SUMIF(B:B,B228,D:D),60),"00")&amp;" min"))</f>
        <v/>
      </c>
    </row>
    <row r="229" ht="17.18">
      <c r="A229" s="61" t="str">
        <f>IF(ISBLANK(B229),"",_xlfn.ISOWEEKNUM('Journal de travail'!$B229))</f>
        <v/>
      </c>
      <c r="B229" s="32"/>
      <c r="C229" s="33"/>
      <c r="D229" s="34"/>
      <c r="E229" s="35"/>
      <c r="F229" s="38"/>
      <c r="G229" s="38"/>
      <c r="H229" t="str">
        <f>IF(OR(ISBLANK(B229),B229=""),"",IF(B229=B228,"",INT(((SUMIF(B:B,B229,C:C)*60)+SUMIF(B:B,B229,D:D))/60)&amp;" h "&amp;TEXT(MOD((SUMIF(B:B,B229,C:C)*60)+SUMIF(B:B,B229,D:D),60),"00")&amp;" min"))</f>
        <v/>
      </c>
    </row>
    <row r="230" ht="17.18">
      <c r="A230" s="60" t="str">
        <f>IF(ISBLANK(B230),"",_xlfn.ISOWEEKNUM('Journal de travail'!$B230))</f>
        <v/>
      </c>
      <c r="B230" s="28"/>
      <c r="C230" s="29"/>
      <c r="D230" s="30"/>
      <c r="E230" s="31"/>
      <c r="F230" s="37"/>
      <c r="G230" s="37"/>
      <c r="H230" t="str">
        <f>IF(OR(ISBLANK(B230),B230=""),"",IF(B230=B229,"",INT(((SUMIF(B:B,B230,C:C)*60)+SUMIF(B:B,B230,D:D))/60)&amp;" h "&amp;TEXT(MOD((SUMIF(B:B,B230,C:C)*60)+SUMIF(B:B,B230,D:D),60),"00")&amp;" min"))</f>
        <v/>
      </c>
    </row>
    <row r="231" ht="17.18">
      <c r="A231" s="61" t="str">
        <f>IF(ISBLANK(B231),"",_xlfn.ISOWEEKNUM('Journal de travail'!$B231))</f>
        <v/>
      </c>
      <c r="B231" s="32"/>
      <c r="C231" s="33"/>
      <c r="D231" s="34"/>
      <c r="E231" s="35"/>
      <c r="F231" s="38"/>
      <c r="G231" s="38"/>
      <c r="H231" t="str">
        <f>IF(OR(ISBLANK(B231),B231=""),"",IF(B231=B230,"",INT(((SUMIF(B:B,B231,C:C)*60)+SUMIF(B:B,B231,D:D))/60)&amp;" h "&amp;TEXT(MOD((SUMIF(B:B,B231,C:C)*60)+SUMIF(B:B,B231,D:D),60),"00")&amp;" min"))</f>
        <v/>
      </c>
    </row>
    <row r="232" ht="17.18">
      <c r="A232" s="60" t="str">
        <f>IF(ISBLANK(B232),"",_xlfn.ISOWEEKNUM('Journal de travail'!$B232))</f>
        <v/>
      </c>
      <c r="B232" s="28"/>
      <c r="C232" s="29"/>
      <c r="D232" s="30"/>
      <c r="E232" s="31"/>
      <c r="F232" s="37"/>
      <c r="G232" s="37"/>
      <c r="H232" t="str">
        <f>IF(OR(ISBLANK(B232),B232=""),"",IF(B232=B231,"",INT(((SUMIF(B:B,B232,C:C)*60)+SUMIF(B:B,B232,D:D))/60)&amp;" h "&amp;TEXT(MOD((SUMIF(B:B,B232,C:C)*60)+SUMIF(B:B,B232,D:D),60),"00")&amp;" min"))</f>
        <v/>
      </c>
    </row>
    <row r="233" ht="17.18">
      <c r="A233" s="61" t="str">
        <f>IF(ISBLANK(B233),"",_xlfn.ISOWEEKNUM('Journal de travail'!$B233))</f>
        <v/>
      </c>
      <c r="B233" s="32"/>
      <c r="C233" s="33"/>
      <c r="D233" s="34"/>
      <c r="E233" s="35"/>
      <c r="F233" s="38"/>
      <c r="G233" s="38"/>
      <c r="H233" t="str">
        <f>IF(OR(ISBLANK(B233),B233=""),"",IF(B233=B232,"",INT(((SUMIF(B:B,B233,C:C)*60)+SUMIF(B:B,B233,D:D))/60)&amp;" h "&amp;TEXT(MOD((SUMIF(B:B,B233,C:C)*60)+SUMIF(B:B,B233,D:D),60),"00")&amp;" min"))</f>
        <v/>
      </c>
    </row>
    <row r="234" ht="17.18">
      <c r="A234" s="60" t="str">
        <f>IF(ISBLANK(B234),"",_xlfn.ISOWEEKNUM('Journal de travail'!$B234))</f>
        <v/>
      </c>
      <c r="B234" s="28"/>
      <c r="C234" s="29"/>
      <c r="D234" s="30"/>
      <c r="E234" s="31"/>
      <c r="F234" s="37"/>
      <c r="G234" s="37"/>
      <c r="H234" t="str">
        <f>IF(OR(ISBLANK(B234),B234=""),"",IF(B234=B233,"",INT(((SUMIF(B:B,B234,C:C)*60)+SUMIF(B:B,B234,D:D))/60)&amp;" h "&amp;TEXT(MOD((SUMIF(B:B,B234,C:C)*60)+SUMIF(B:B,B234,D:D),60),"00")&amp;" min"))</f>
        <v/>
      </c>
    </row>
    <row r="235" ht="17.18">
      <c r="A235" s="61" t="str">
        <f>IF(ISBLANK(B235),"",_xlfn.ISOWEEKNUM('Journal de travail'!$B235))</f>
        <v/>
      </c>
      <c r="B235" s="32"/>
      <c r="C235" s="33"/>
      <c r="D235" s="34"/>
      <c r="E235" s="35"/>
      <c r="F235" s="38"/>
      <c r="G235" s="38"/>
      <c r="H235" t="str">
        <f>IF(OR(ISBLANK(B235),B235=""),"",IF(B235=B234,"",INT(((SUMIF(B:B,B235,C:C)*60)+SUMIF(B:B,B235,D:D))/60)&amp;" h "&amp;TEXT(MOD((SUMIF(B:B,B235,C:C)*60)+SUMIF(B:B,B235,D:D),60),"00")&amp;" min"))</f>
        <v/>
      </c>
    </row>
    <row r="236" ht="17.18">
      <c r="A236" s="60" t="str">
        <f>IF(ISBLANK(B236),"",_xlfn.ISOWEEKNUM('Journal de travail'!$B236))</f>
        <v/>
      </c>
      <c r="B236" s="28"/>
      <c r="C236" s="29"/>
      <c r="D236" s="30"/>
      <c r="E236" s="31"/>
      <c r="F236" s="37"/>
      <c r="G236" s="37"/>
      <c r="H236" t="str">
        <f>IF(OR(ISBLANK(B236),B236=""),"",IF(B236=B235,"",INT(((SUMIF(B:B,B236,C:C)*60)+SUMIF(B:B,B236,D:D))/60)&amp;" h "&amp;TEXT(MOD((SUMIF(B:B,B236,C:C)*60)+SUMIF(B:B,B236,D:D),60),"00")&amp;" min"))</f>
        <v/>
      </c>
    </row>
    <row r="237" ht="17.18">
      <c r="A237" s="61" t="str">
        <f>IF(ISBLANK(B237),"",_xlfn.ISOWEEKNUM('Journal de travail'!$B237))</f>
        <v/>
      </c>
      <c r="B237" s="32"/>
      <c r="C237" s="33"/>
      <c r="D237" s="34"/>
      <c r="E237" s="35"/>
      <c r="F237" s="38"/>
      <c r="G237" s="38"/>
      <c r="H237" t="str">
        <f>IF(OR(ISBLANK(B237),B237=""),"",IF(B237=B236,"",INT(((SUMIF(B:B,B237,C:C)*60)+SUMIF(B:B,B237,D:D))/60)&amp;" h "&amp;TEXT(MOD((SUMIF(B:B,B237,C:C)*60)+SUMIF(B:B,B237,D:D),60),"00")&amp;" min"))</f>
        <v/>
      </c>
    </row>
    <row r="238" ht="17.18">
      <c r="A238" s="60" t="str">
        <f>IF(ISBLANK(B238),"",_xlfn.ISOWEEKNUM('Journal de travail'!$B238))</f>
        <v/>
      </c>
      <c r="B238" s="28"/>
      <c r="C238" s="29"/>
      <c r="D238" s="30"/>
      <c r="E238" s="31"/>
      <c r="F238" s="37"/>
      <c r="G238" s="37"/>
      <c r="H238" t="str">
        <f>IF(OR(ISBLANK(B238),B238=""),"",IF(B238=B237,"",INT(((SUMIF(B:B,B238,C:C)*60)+SUMIF(B:B,B238,D:D))/60)&amp;" h "&amp;TEXT(MOD((SUMIF(B:B,B238,C:C)*60)+SUMIF(B:B,B238,D:D),60),"00")&amp;" min"))</f>
        <v/>
      </c>
    </row>
    <row r="239" ht="17.18">
      <c r="A239" s="61" t="str">
        <f>IF(ISBLANK(B239),"",_xlfn.ISOWEEKNUM('Journal de travail'!$B239))</f>
        <v/>
      </c>
      <c r="B239" s="32"/>
      <c r="C239" s="33"/>
      <c r="D239" s="34"/>
      <c r="E239" s="35"/>
      <c r="F239" s="38"/>
      <c r="G239" s="38"/>
      <c r="H239" t="str">
        <f>IF(OR(ISBLANK(B239),B239=""),"",IF(B239=B238,"",INT(((SUMIF(B:B,B239,C:C)*60)+SUMIF(B:B,B239,D:D))/60)&amp;" h "&amp;TEXT(MOD((SUMIF(B:B,B239,C:C)*60)+SUMIF(B:B,B239,D:D),60),"00")&amp;" min"))</f>
        <v/>
      </c>
    </row>
    <row r="240" ht="17.18">
      <c r="A240" s="60" t="str">
        <f>IF(ISBLANK(B240),"",_xlfn.ISOWEEKNUM('Journal de travail'!$B240))</f>
        <v/>
      </c>
      <c r="B240" s="28"/>
      <c r="C240" s="29"/>
      <c r="D240" s="30"/>
      <c r="E240" s="31"/>
      <c r="F240" s="37"/>
      <c r="G240" s="37"/>
      <c r="H240" t="str">
        <f>IF(OR(ISBLANK(B240),B240=""),"",IF(B240=B239,"",INT(((SUMIF(B:B,B240,C:C)*60)+SUMIF(B:B,B240,D:D))/60)&amp;" h "&amp;TEXT(MOD((SUMIF(B:B,B240,C:C)*60)+SUMIF(B:B,B240,D:D),60),"00")&amp;" min"))</f>
        <v/>
      </c>
    </row>
    <row r="241" ht="17.18">
      <c r="A241" s="61" t="str">
        <f>IF(ISBLANK(B241),"",_xlfn.ISOWEEKNUM('Journal de travail'!$B241))</f>
        <v/>
      </c>
      <c r="B241" s="32"/>
      <c r="C241" s="33"/>
      <c r="D241" s="34"/>
      <c r="E241" s="35"/>
      <c r="F241" s="38"/>
      <c r="G241" s="38"/>
      <c r="H241" t="str">
        <f>IF(OR(ISBLANK(B241),B241=""),"",IF(B241=B240,"",INT(((SUMIF(B:B,B241,C:C)*60)+SUMIF(B:B,B241,D:D))/60)&amp;" h "&amp;TEXT(MOD((SUMIF(B:B,B241,C:C)*60)+SUMIF(B:B,B241,D:D),60),"00")&amp;" min"))</f>
        <v/>
      </c>
    </row>
    <row r="242" ht="17.18">
      <c r="A242" s="60" t="str">
        <f>IF(ISBLANK(B242),"",_xlfn.ISOWEEKNUM('Journal de travail'!$B242))</f>
        <v/>
      </c>
      <c r="B242" s="28"/>
      <c r="C242" s="29"/>
      <c r="D242" s="30"/>
      <c r="E242" s="31"/>
      <c r="F242" s="37"/>
      <c r="G242" s="37"/>
      <c r="H242" t="str">
        <f>IF(OR(ISBLANK(B242),B242=""),"",IF(B242=B241,"",INT(((SUMIF(B:B,B242,C:C)*60)+SUMIF(B:B,B242,D:D))/60)&amp;" h "&amp;TEXT(MOD((SUMIF(B:B,B242,C:C)*60)+SUMIF(B:B,B242,D:D),60),"00")&amp;" min"))</f>
        <v/>
      </c>
    </row>
    <row r="243" ht="17.18">
      <c r="A243" s="61" t="str">
        <f>IF(ISBLANK(B243),"",_xlfn.ISOWEEKNUM('Journal de travail'!$B243))</f>
        <v/>
      </c>
      <c r="B243" s="32"/>
      <c r="C243" s="33"/>
      <c r="D243" s="34"/>
      <c r="E243" s="35"/>
      <c r="F243" s="38"/>
      <c r="G243" s="38"/>
      <c r="H243" t="str">
        <f>IF(OR(ISBLANK(B243),B243=""),"",IF(B243=B242,"",INT(((SUMIF(B:B,B243,C:C)*60)+SUMIF(B:B,B243,D:D))/60)&amp;" h "&amp;TEXT(MOD((SUMIF(B:B,B243,C:C)*60)+SUMIF(B:B,B243,D:D),60),"00")&amp;" min"))</f>
        <v/>
      </c>
    </row>
    <row r="244" ht="17.18">
      <c r="A244" s="60" t="str">
        <f>IF(ISBLANK(B244),"",_xlfn.ISOWEEKNUM('Journal de travail'!$B244))</f>
        <v/>
      </c>
      <c r="B244" s="28"/>
      <c r="C244" s="29"/>
      <c r="D244" s="30"/>
      <c r="E244" s="31"/>
      <c r="F244" s="37"/>
      <c r="G244" s="37"/>
      <c r="H244" t="str">
        <f>IF(OR(ISBLANK(B244),B244=""),"",IF(B244=B243,"",INT(((SUMIF(B:B,B244,C:C)*60)+SUMIF(B:B,B244,D:D))/60)&amp;" h "&amp;TEXT(MOD((SUMIF(B:B,B244,C:C)*60)+SUMIF(B:B,B244,D:D),60),"00")&amp;" min"))</f>
        <v/>
      </c>
    </row>
    <row r="245" ht="17.18">
      <c r="A245" s="61" t="str">
        <f>IF(ISBLANK(B245),"",_xlfn.ISOWEEKNUM('Journal de travail'!$B245))</f>
        <v/>
      </c>
      <c r="B245" s="32"/>
      <c r="C245" s="33"/>
      <c r="D245" s="34"/>
      <c r="E245" s="35"/>
      <c r="F245" s="38"/>
      <c r="G245" s="38"/>
      <c r="H245" t="str">
        <f>IF(OR(ISBLANK(B245),B245=""),"",IF(B245=B244,"",INT(((SUMIF(B:B,B245,C:C)*60)+SUMIF(B:B,B245,D:D))/60)&amp;" h "&amp;TEXT(MOD((SUMIF(B:B,B245,C:C)*60)+SUMIF(B:B,B245,D:D),60),"00")&amp;" min"))</f>
        <v/>
      </c>
    </row>
    <row r="246" ht="17.18">
      <c r="A246" s="60" t="str">
        <f>IF(ISBLANK(B246),"",_xlfn.ISOWEEKNUM('Journal de travail'!$B246))</f>
        <v/>
      </c>
      <c r="B246" s="28"/>
      <c r="C246" s="29"/>
      <c r="D246" s="30"/>
      <c r="E246" s="31"/>
      <c r="F246" s="37"/>
      <c r="G246" s="37"/>
      <c r="H246" t="str">
        <f>IF(OR(ISBLANK(B246),B246=""),"",IF(B246=B245,"",INT(((SUMIF(B:B,B246,C:C)*60)+SUMIF(B:B,B246,D:D))/60)&amp;" h "&amp;TEXT(MOD((SUMIF(B:B,B246,C:C)*60)+SUMIF(B:B,B246,D:D),60),"00")&amp;" min"))</f>
        <v/>
      </c>
    </row>
    <row r="247" ht="17.18">
      <c r="A247" s="61" t="str">
        <f>IF(ISBLANK(B247),"",_xlfn.ISOWEEKNUM('Journal de travail'!$B247))</f>
        <v/>
      </c>
      <c r="B247" s="32"/>
      <c r="C247" s="33"/>
      <c r="D247" s="34"/>
      <c r="E247" s="35"/>
      <c r="F247" s="38"/>
      <c r="G247" s="38"/>
      <c r="H247" t="str">
        <f>IF(OR(ISBLANK(B247),B247=""),"",IF(B247=B246,"",INT(((SUMIF(B:B,B247,C:C)*60)+SUMIF(B:B,B247,D:D))/60)&amp;" h "&amp;TEXT(MOD((SUMIF(B:B,B247,C:C)*60)+SUMIF(B:B,B247,D:D),60),"00")&amp;" min"))</f>
        <v/>
      </c>
    </row>
    <row r="248" ht="17.18">
      <c r="A248" s="60" t="str">
        <f>IF(ISBLANK(B248),"",_xlfn.ISOWEEKNUM('Journal de travail'!$B248))</f>
        <v/>
      </c>
      <c r="B248" s="28"/>
      <c r="C248" s="29"/>
      <c r="D248" s="30"/>
      <c r="E248" s="31"/>
      <c r="F248" s="37"/>
      <c r="G248" s="37"/>
      <c r="H248" t="str">
        <f>IF(OR(ISBLANK(B248),B248=""),"",IF(B248=B247,"",INT(((SUMIF(B:B,B248,C:C)*60)+SUMIF(B:B,B248,D:D))/60)&amp;" h "&amp;TEXT(MOD((SUMIF(B:B,B248,C:C)*60)+SUMIF(B:B,B248,D:D),60),"00")&amp;" min"))</f>
        <v/>
      </c>
    </row>
    <row r="249" ht="17.18">
      <c r="A249" s="61" t="str">
        <f>IF(ISBLANK(B249),"",_xlfn.ISOWEEKNUM('Journal de travail'!$B249))</f>
        <v/>
      </c>
      <c r="B249" s="32"/>
      <c r="C249" s="33"/>
      <c r="D249" s="34"/>
      <c r="E249" s="35"/>
      <c r="F249" s="38"/>
      <c r="G249" s="38"/>
      <c r="H249" t="str">
        <f>IF(OR(ISBLANK(B249),B249=""),"",IF(B249=B248,"",INT(((SUMIF(B:B,B249,C:C)*60)+SUMIF(B:B,B249,D:D))/60)&amp;" h "&amp;TEXT(MOD((SUMIF(B:B,B249,C:C)*60)+SUMIF(B:B,B249,D:D),60),"00")&amp;" min"))</f>
        <v/>
      </c>
    </row>
    <row r="250" ht="17.18">
      <c r="A250" s="60" t="str">
        <f>IF(ISBLANK(B250),"",_xlfn.ISOWEEKNUM('Journal de travail'!$B250))</f>
        <v/>
      </c>
      <c r="B250" s="28"/>
      <c r="C250" s="29"/>
      <c r="D250" s="30"/>
      <c r="E250" s="31"/>
      <c r="F250" s="37"/>
      <c r="G250" s="37"/>
      <c r="H250" t="str">
        <f>IF(OR(ISBLANK(B250),B250=""),"",IF(B250=B249,"",INT(((SUMIF(B:B,B250,C:C)*60)+SUMIF(B:B,B250,D:D))/60)&amp;" h "&amp;TEXT(MOD((SUMIF(B:B,B250,C:C)*60)+SUMIF(B:B,B250,D:D),60),"00")&amp;" min"))</f>
        <v/>
      </c>
    </row>
    <row r="251" ht="17.18">
      <c r="A251" s="61" t="str">
        <f>IF(ISBLANK(B251),"",_xlfn.ISOWEEKNUM('Journal de travail'!$B251))</f>
        <v/>
      </c>
      <c r="B251" s="32"/>
      <c r="C251" s="33"/>
      <c r="D251" s="34"/>
      <c r="E251" s="35"/>
      <c r="F251" s="38"/>
      <c r="G251" s="38"/>
      <c r="H251" t="str">
        <f>IF(OR(ISBLANK(B251),B251=""),"",IF(B251=B250,"",INT(((SUMIF(B:B,B251,C:C)*60)+SUMIF(B:B,B251,D:D))/60)&amp;" h "&amp;TEXT(MOD((SUMIF(B:B,B251,C:C)*60)+SUMIF(B:B,B251,D:D),60),"00")&amp;" min"))</f>
        <v/>
      </c>
    </row>
    <row r="252" ht="17.18">
      <c r="A252" s="60" t="str">
        <f>IF(ISBLANK(B252),"",_xlfn.ISOWEEKNUM('Journal de travail'!$B252))</f>
        <v/>
      </c>
      <c r="B252" s="28"/>
      <c r="C252" s="29"/>
      <c r="D252" s="30"/>
      <c r="E252" s="31"/>
      <c r="F252" s="37"/>
      <c r="G252" s="37"/>
      <c r="H252" t="str">
        <f>IF(OR(ISBLANK(B252),B252=""),"",IF(B252=B251,"",INT(((SUMIF(B:B,B252,C:C)*60)+SUMIF(B:B,B252,D:D))/60)&amp;" h "&amp;TEXT(MOD((SUMIF(B:B,B252,C:C)*60)+SUMIF(B:B,B252,D:D),60),"00")&amp;" min"))</f>
        <v/>
      </c>
    </row>
    <row r="253" ht="17.18">
      <c r="A253" s="61" t="str">
        <f>IF(ISBLANK(B253),"",_xlfn.ISOWEEKNUM('Journal de travail'!$B253))</f>
        <v/>
      </c>
      <c r="B253" s="32"/>
      <c r="C253" s="33"/>
      <c r="D253" s="34"/>
      <c r="E253" s="35"/>
      <c r="F253" s="38"/>
      <c r="G253" s="38"/>
      <c r="H253" t="str">
        <f>IF(OR(ISBLANK(B253),B253=""),"",IF(B253=B252,"",INT(((SUMIF(B:B,B253,C:C)*60)+SUMIF(B:B,B253,D:D))/60)&amp;" h "&amp;TEXT(MOD((SUMIF(B:B,B253,C:C)*60)+SUMIF(B:B,B253,D:D),60),"00")&amp;" min"))</f>
        <v/>
      </c>
    </row>
    <row r="254" ht="17.18">
      <c r="A254" s="60" t="str">
        <f>IF(ISBLANK(B254),"",_xlfn.ISOWEEKNUM('Journal de travail'!$B254))</f>
        <v/>
      </c>
      <c r="B254" s="28"/>
      <c r="C254" s="29"/>
      <c r="D254" s="30"/>
      <c r="E254" s="31"/>
      <c r="F254" s="37"/>
      <c r="G254" s="37"/>
      <c r="H254" t="str">
        <f>IF(OR(ISBLANK(B254),B254=""),"",IF(B254=B253,"",INT(((SUMIF(B:B,B254,C:C)*60)+SUMIF(B:B,B254,D:D))/60)&amp;" h "&amp;TEXT(MOD((SUMIF(B:B,B254,C:C)*60)+SUMIF(B:B,B254,D:D),60),"00")&amp;" min"))</f>
        <v/>
      </c>
    </row>
    <row r="255" ht="17.18">
      <c r="A255" s="61" t="str">
        <f>IF(ISBLANK(B255),"",_xlfn.ISOWEEKNUM('Journal de travail'!$B255))</f>
        <v/>
      </c>
      <c r="B255" s="32"/>
      <c r="C255" s="33"/>
      <c r="D255" s="34"/>
      <c r="E255" s="35"/>
      <c r="F255" s="38"/>
      <c r="G255" s="38"/>
      <c r="H255" t="str">
        <f>IF(OR(ISBLANK(B255),B255=""),"",IF(B255=B254,"",INT(((SUMIF(B:B,B255,C:C)*60)+SUMIF(B:B,B255,D:D))/60)&amp;" h "&amp;TEXT(MOD((SUMIF(B:B,B255,C:C)*60)+SUMIF(B:B,B255,D:D),60),"00")&amp;" min"))</f>
        <v/>
      </c>
    </row>
    <row r="256" ht="17.18">
      <c r="A256" s="60" t="str">
        <f>IF(ISBLANK(B256),"",_xlfn.ISOWEEKNUM('Journal de travail'!$B256))</f>
        <v/>
      </c>
      <c r="B256" s="28"/>
      <c r="C256" s="29"/>
      <c r="D256" s="30"/>
      <c r="E256" s="31"/>
      <c r="F256" s="37"/>
      <c r="G256" s="37"/>
      <c r="H256" t="str">
        <f>IF(OR(ISBLANK(B256),B256=""),"",IF(B256=B255,"",INT(((SUMIF(B:B,B256,C:C)*60)+SUMIF(B:B,B256,D:D))/60)&amp;" h "&amp;TEXT(MOD((SUMIF(B:B,B256,C:C)*60)+SUMIF(B:B,B256,D:D),60),"00")&amp;" min"))</f>
        <v/>
      </c>
    </row>
    <row r="257" ht="17.18">
      <c r="A257" s="61" t="str">
        <f>IF(ISBLANK(B257),"",_xlfn.ISOWEEKNUM('Journal de travail'!$B257))</f>
        <v/>
      </c>
      <c r="B257" s="32"/>
      <c r="C257" s="33"/>
      <c r="D257" s="34"/>
      <c r="E257" s="35"/>
      <c r="F257" s="38"/>
      <c r="G257" s="38"/>
      <c r="H257" t="str">
        <f>IF(OR(ISBLANK(B257),B257=""),"",IF(B257=B256,"",INT(((SUMIF(B:B,B257,C:C)*60)+SUMIF(B:B,B257,D:D))/60)&amp;" h "&amp;TEXT(MOD((SUMIF(B:B,B257,C:C)*60)+SUMIF(B:B,B257,D:D),60),"00")&amp;" min"))</f>
        <v/>
      </c>
    </row>
    <row r="258" ht="17.18">
      <c r="A258" s="60" t="str">
        <f>IF(ISBLANK(B258),"",_xlfn.ISOWEEKNUM('Journal de travail'!$B258))</f>
        <v/>
      </c>
      <c r="B258" s="28"/>
      <c r="C258" s="29"/>
      <c r="D258" s="30"/>
      <c r="E258" s="31"/>
      <c r="F258" s="37"/>
      <c r="G258" s="37"/>
      <c r="H258" t="str">
        <f>IF(OR(ISBLANK(B258),B258=""),"",IF(B258=B257,"",INT(((SUMIF(B:B,B258,C:C)*60)+SUMIF(B:B,B258,D:D))/60)&amp;" h "&amp;TEXT(MOD((SUMIF(B:B,B258,C:C)*60)+SUMIF(B:B,B258,D:D),60),"00")&amp;" min"))</f>
        <v/>
      </c>
    </row>
    <row r="259" ht="17.18">
      <c r="A259" s="61" t="str">
        <f>IF(ISBLANK(B259),"",_xlfn.ISOWEEKNUM('Journal de travail'!$B259))</f>
        <v/>
      </c>
      <c r="B259" s="32"/>
      <c r="C259" s="33"/>
      <c r="D259" s="34"/>
      <c r="E259" s="35"/>
      <c r="F259" s="38"/>
      <c r="G259" s="38"/>
      <c r="H259" t="str">
        <f>IF(OR(ISBLANK(B259),B259=""),"",IF(B259=B258,"",INT(((SUMIF(B:B,B259,C:C)*60)+SUMIF(B:B,B259,D:D))/60)&amp;" h "&amp;TEXT(MOD((SUMIF(B:B,B259,C:C)*60)+SUMIF(B:B,B259,D:D),60),"00")&amp;" min"))</f>
        <v/>
      </c>
    </row>
    <row r="260" ht="17.18">
      <c r="A260" s="60" t="str">
        <f>IF(ISBLANK(B260),"",_xlfn.ISOWEEKNUM('Journal de travail'!$B260))</f>
        <v/>
      </c>
      <c r="B260" s="28"/>
      <c r="C260" s="29"/>
      <c r="D260" s="30"/>
      <c r="E260" s="31"/>
      <c r="F260" s="37"/>
      <c r="G260" s="37"/>
      <c r="H260" t="str">
        <f>IF(OR(ISBLANK(B260),B260=""),"",IF(B260=B259,"",INT(((SUMIF(B:B,B260,C:C)*60)+SUMIF(B:B,B260,D:D))/60)&amp;" h "&amp;TEXT(MOD((SUMIF(B:B,B260,C:C)*60)+SUMIF(B:B,B260,D:D),60),"00")&amp;" min"))</f>
        <v/>
      </c>
    </row>
    <row r="261" ht="17.18">
      <c r="A261" s="61" t="str">
        <f>IF(ISBLANK(B261),"",_xlfn.ISOWEEKNUM('Journal de travail'!$B261))</f>
        <v/>
      </c>
      <c r="B261" s="32"/>
      <c r="C261" s="33"/>
      <c r="D261" s="34"/>
      <c r="E261" s="35"/>
      <c r="F261" s="38"/>
      <c r="G261" s="38"/>
      <c r="H261" t="str">
        <f>IF(OR(ISBLANK(B261),B261=""),"",IF(B261=B260,"",INT(((SUMIF(B:B,B261,C:C)*60)+SUMIF(B:B,B261,D:D))/60)&amp;" h "&amp;TEXT(MOD((SUMIF(B:B,B261,C:C)*60)+SUMIF(B:B,B261,D:D),60),"00")&amp;" min"))</f>
        <v/>
      </c>
    </row>
    <row r="262" ht="17.18">
      <c r="A262" s="60" t="str">
        <f>IF(ISBLANK(B262),"",_xlfn.ISOWEEKNUM('Journal de travail'!$B262))</f>
        <v/>
      </c>
      <c r="B262" s="28"/>
      <c r="C262" s="29"/>
      <c r="D262" s="30"/>
      <c r="E262" s="31"/>
      <c r="F262" s="37"/>
      <c r="G262" s="37"/>
      <c r="H262" t="str">
        <f>IF(OR(ISBLANK(B262),B262=""),"",IF(B262=B261,"",INT(((SUMIF(B:B,B262,C:C)*60)+SUMIF(B:B,B262,D:D))/60)&amp;" h "&amp;TEXT(MOD((SUMIF(B:B,B262,C:C)*60)+SUMIF(B:B,B262,D:D),60),"00")&amp;" min"))</f>
        <v/>
      </c>
    </row>
    <row r="263" ht="17.18">
      <c r="A263" s="61" t="str">
        <f>IF(ISBLANK(B263),"",_xlfn.ISOWEEKNUM('Journal de travail'!$B263))</f>
        <v/>
      </c>
      <c r="B263" s="32"/>
      <c r="C263" s="33"/>
      <c r="D263" s="34"/>
      <c r="E263" s="35"/>
      <c r="F263" s="38"/>
      <c r="G263" s="38"/>
      <c r="H263" t="str">
        <f>IF(OR(ISBLANK(B263),B263=""),"",IF(B263=B262,"",INT(((SUMIF(B:B,B263,C:C)*60)+SUMIF(B:B,B263,D:D))/60)&amp;" h "&amp;TEXT(MOD((SUMIF(B:B,B263,C:C)*60)+SUMIF(B:B,B263,D:D),60),"00")&amp;" min"))</f>
        <v/>
      </c>
    </row>
    <row r="264" ht="17.18">
      <c r="A264" s="60" t="str">
        <f>IF(ISBLANK(B264),"",_xlfn.ISOWEEKNUM('Journal de travail'!$B264))</f>
        <v/>
      </c>
      <c r="B264" s="28"/>
      <c r="C264" s="29"/>
      <c r="D264" s="30"/>
      <c r="E264" s="31"/>
      <c r="F264" s="37"/>
      <c r="G264" s="37"/>
      <c r="H264" t="str">
        <f>IF(OR(ISBLANK(B264),B264=""),"",IF(B264=B263,"",INT(((SUMIF(B:B,B264,C:C)*60)+SUMIF(B:B,B264,D:D))/60)&amp;" h "&amp;TEXT(MOD((SUMIF(B:B,B264,C:C)*60)+SUMIF(B:B,B264,D:D),60),"00")&amp;" min"))</f>
        <v/>
      </c>
    </row>
    <row r="265" ht="17.18">
      <c r="A265" s="61" t="str">
        <f>IF(ISBLANK(B265),"",_xlfn.ISOWEEKNUM('Journal de travail'!$B265))</f>
        <v/>
      </c>
      <c r="B265" s="32"/>
      <c r="C265" s="33"/>
      <c r="D265" s="34"/>
      <c r="E265" s="35"/>
      <c r="F265" s="38"/>
      <c r="G265" s="38"/>
      <c r="H265" t="str">
        <f>IF(OR(ISBLANK(B265),B265=""),"",IF(B265=B264,"",INT(((SUMIF(B:B,B265,C:C)*60)+SUMIF(B:B,B265,D:D))/60)&amp;" h "&amp;TEXT(MOD((SUMIF(B:B,B265,C:C)*60)+SUMIF(B:B,B265,D:D),60),"00")&amp;" min"))</f>
        <v/>
      </c>
    </row>
    <row r="266" ht="17.18">
      <c r="A266" s="60" t="str">
        <f>IF(ISBLANK(B266),"",_xlfn.ISOWEEKNUM('Journal de travail'!$B266))</f>
        <v/>
      </c>
      <c r="B266" s="28"/>
      <c r="C266" s="29"/>
      <c r="D266" s="30"/>
      <c r="E266" s="31"/>
      <c r="F266" s="37"/>
      <c r="G266" s="37"/>
      <c r="H266" t="str">
        <f>IF(OR(ISBLANK(B266),B266=""),"",IF(B266=B265,"",INT(((SUMIF(B:B,B266,C:C)*60)+SUMIF(B:B,B266,D:D))/60)&amp;" h "&amp;TEXT(MOD((SUMIF(B:B,B266,C:C)*60)+SUMIF(B:B,B266,D:D),60),"00")&amp;" min"))</f>
        <v/>
      </c>
    </row>
    <row r="267" ht="17.18">
      <c r="A267" s="61" t="str">
        <f>IF(ISBLANK(B267),"",_xlfn.ISOWEEKNUM('Journal de travail'!$B267))</f>
        <v/>
      </c>
      <c r="B267" s="32"/>
      <c r="C267" s="33"/>
      <c r="D267" s="34"/>
      <c r="E267" s="35"/>
      <c r="F267" s="38"/>
      <c r="G267" s="38"/>
      <c r="H267" t="str">
        <f>IF(OR(ISBLANK(B267),B267=""),"",IF(B267=B266,"",INT(((SUMIF(B:B,B267,C:C)*60)+SUMIF(B:B,B267,D:D))/60)&amp;" h "&amp;TEXT(MOD((SUMIF(B:B,B267,C:C)*60)+SUMIF(B:B,B267,D:D),60),"00")&amp;" min"))</f>
        <v/>
      </c>
    </row>
    <row r="268" ht="17.18">
      <c r="A268" s="60" t="str">
        <f>IF(ISBLANK(B268),"",_xlfn.ISOWEEKNUM('Journal de travail'!$B268))</f>
        <v/>
      </c>
      <c r="B268" s="28"/>
      <c r="C268" s="29"/>
      <c r="D268" s="30"/>
      <c r="E268" s="31"/>
      <c r="F268" s="37"/>
      <c r="G268" s="37"/>
      <c r="H268" t="str">
        <f>IF(OR(ISBLANK(B268),B268=""),"",IF(B268=B267,"",INT(((SUMIF(B:B,B268,C:C)*60)+SUMIF(B:B,B268,D:D))/60)&amp;" h "&amp;TEXT(MOD((SUMIF(B:B,B268,C:C)*60)+SUMIF(B:B,B268,D:D),60),"00")&amp;" min"))</f>
        <v/>
      </c>
    </row>
    <row r="269" ht="17.18">
      <c r="A269" s="61" t="str">
        <f>IF(ISBLANK(B269),"",_xlfn.ISOWEEKNUM('Journal de travail'!$B269))</f>
        <v/>
      </c>
      <c r="B269" s="32"/>
      <c r="C269" s="33"/>
      <c r="D269" s="34"/>
      <c r="E269" s="35"/>
      <c r="F269" s="38"/>
      <c r="G269" s="38"/>
      <c r="H269" t="str">
        <f>IF(OR(ISBLANK(B269),B269=""),"",IF(B269=B268,"",INT(((SUMIF(B:B,B269,C:C)*60)+SUMIF(B:B,B269,D:D))/60)&amp;" h "&amp;TEXT(MOD((SUMIF(B:B,B269,C:C)*60)+SUMIF(B:B,B269,D:D),60),"00")&amp;" min"))</f>
        <v/>
      </c>
    </row>
    <row r="270" ht="17.18">
      <c r="A270" s="60" t="str">
        <f>IF(ISBLANK(B270),"",_xlfn.ISOWEEKNUM('Journal de travail'!$B270))</f>
        <v/>
      </c>
      <c r="B270" s="28"/>
      <c r="C270" s="29"/>
      <c r="D270" s="30"/>
      <c r="E270" s="31"/>
      <c r="F270" s="37"/>
      <c r="G270" s="37"/>
      <c r="H270" t="str">
        <f>IF(OR(ISBLANK(B270),B270=""),"",IF(B270=B269,"",INT(((SUMIF(B:B,B270,C:C)*60)+SUMIF(B:B,B270,D:D))/60)&amp;" h "&amp;TEXT(MOD((SUMIF(B:B,B270,C:C)*60)+SUMIF(B:B,B270,D:D),60),"00")&amp;" min"))</f>
        <v/>
      </c>
    </row>
    <row r="271" ht="17.18">
      <c r="A271" s="61" t="str">
        <f>IF(ISBLANK(B271),"",_xlfn.ISOWEEKNUM('Journal de travail'!$B271))</f>
        <v/>
      </c>
      <c r="B271" s="32"/>
      <c r="C271" s="33"/>
      <c r="D271" s="34"/>
      <c r="E271" s="35"/>
      <c r="F271" s="38"/>
      <c r="G271" s="38"/>
      <c r="H271" t="str">
        <f>IF(OR(ISBLANK(B271),B271=""),"",IF(B271=B270,"",INT(((SUMIF(B:B,B271,C:C)*60)+SUMIF(B:B,B271,D:D))/60)&amp;" h "&amp;TEXT(MOD((SUMIF(B:B,B271,C:C)*60)+SUMIF(B:B,B271,D:D),60),"00")&amp;" min"))</f>
        <v/>
      </c>
    </row>
    <row r="272" ht="17.18">
      <c r="A272" s="60" t="str">
        <f>IF(ISBLANK(B272),"",_xlfn.ISOWEEKNUM('Journal de travail'!$B272))</f>
        <v/>
      </c>
      <c r="B272" s="28"/>
      <c r="C272" s="29"/>
      <c r="D272" s="30"/>
      <c r="E272" s="31"/>
      <c r="F272" s="37"/>
      <c r="G272" s="37"/>
      <c r="H272" t="str">
        <f>IF(OR(ISBLANK(B272),B272=""),"",IF(B272=B271,"",INT(((SUMIF(B:B,B272,C:C)*60)+SUMIF(B:B,B272,D:D))/60)&amp;" h "&amp;TEXT(MOD((SUMIF(B:B,B272,C:C)*60)+SUMIF(B:B,B272,D:D),60),"00")&amp;" min"))</f>
        <v/>
      </c>
    </row>
    <row r="273" ht="17.18">
      <c r="A273" s="61" t="str">
        <f>IF(ISBLANK(B273),"",_xlfn.ISOWEEKNUM('Journal de travail'!$B273))</f>
        <v/>
      </c>
      <c r="B273" s="32"/>
      <c r="C273" s="33"/>
      <c r="D273" s="34"/>
      <c r="E273" s="35"/>
      <c r="F273" s="38"/>
      <c r="G273" s="38"/>
      <c r="H273" t="str">
        <f>IF(OR(ISBLANK(B273),B273=""),"",IF(B273=B272,"",INT(((SUMIF(B:B,B273,C:C)*60)+SUMIF(B:B,B273,D:D))/60)&amp;" h "&amp;TEXT(MOD((SUMIF(B:B,B273,C:C)*60)+SUMIF(B:B,B273,D:D),60),"00")&amp;" min"))</f>
        <v/>
      </c>
    </row>
    <row r="274" ht="17.18">
      <c r="A274" s="60" t="str">
        <f>IF(ISBLANK(B274),"",_xlfn.ISOWEEKNUM('Journal de travail'!$B274))</f>
        <v/>
      </c>
      <c r="B274" s="28"/>
      <c r="C274" s="29"/>
      <c r="D274" s="30"/>
      <c r="E274" s="31"/>
      <c r="F274" s="37"/>
      <c r="G274" s="37"/>
      <c r="H274" t="str">
        <f>IF(OR(ISBLANK(B274),B274=""),"",IF(B274=B273,"",INT(((SUMIF(B:B,B274,C:C)*60)+SUMIF(B:B,B274,D:D))/60)&amp;" h "&amp;TEXT(MOD((SUMIF(B:B,B274,C:C)*60)+SUMIF(B:B,B274,D:D),60),"00")&amp;" min"))</f>
        <v/>
      </c>
    </row>
    <row r="275" ht="17.18">
      <c r="A275" s="61" t="str">
        <f>IF(ISBLANK(B275),"",_xlfn.ISOWEEKNUM('Journal de travail'!$B275))</f>
        <v/>
      </c>
      <c r="B275" s="32"/>
      <c r="C275" s="33"/>
      <c r="D275" s="34"/>
      <c r="E275" s="35"/>
      <c r="F275" s="38"/>
      <c r="G275" s="38"/>
      <c r="H275" t="str">
        <f>IF(OR(ISBLANK(B275),B275=""),"",IF(B275=B274,"",INT(((SUMIF(B:B,B275,C:C)*60)+SUMIF(B:B,B275,D:D))/60)&amp;" h "&amp;TEXT(MOD((SUMIF(B:B,B275,C:C)*60)+SUMIF(B:B,B275,D:D),60),"00")&amp;" min"))</f>
        <v/>
      </c>
    </row>
    <row r="276" ht="17.18">
      <c r="A276" s="60" t="str">
        <f>IF(ISBLANK(B276),"",_xlfn.ISOWEEKNUM('Journal de travail'!$B276))</f>
        <v/>
      </c>
      <c r="B276" s="28"/>
      <c r="C276" s="29"/>
      <c r="D276" s="30"/>
      <c r="E276" s="31"/>
      <c r="F276" s="37"/>
      <c r="G276" s="37"/>
      <c r="H276" t="str">
        <f>IF(OR(ISBLANK(B276),B276=""),"",IF(B276=B275,"",INT(((SUMIF(B:B,B276,C:C)*60)+SUMIF(B:B,B276,D:D))/60)&amp;" h "&amp;TEXT(MOD((SUMIF(B:B,B276,C:C)*60)+SUMIF(B:B,B276,D:D),60),"00")&amp;" min"))</f>
        <v/>
      </c>
    </row>
    <row r="277" ht="17.18">
      <c r="A277" s="61" t="str">
        <f>IF(ISBLANK(B277),"",_xlfn.ISOWEEKNUM('Journal de travail'!$B277))</f>
        <v/>
      </c>
      <c r="B277" s="32"/>
      <c r="C277" s="33"/>
      <c r="D277" s="34"/>
      <c r="E277" s="35"/>
      <c r="F277" s="38"/>
      <c r="G277" s="38"/>
      <c r="H277" t="str">
        <f>IF(OR(ISBLANK(B277),B277=""),"",IF(B277=B276,"",INT(((SUMIF(B:B,B277,C:C)*60)+SUMIF(B:B,B277,D:D))/60)&amp;" h "&amp;TEXT(MOD((SUMIF(B:B,B277,C:C)*60)+SUMIF(B:B,B277,D:D),60),"00")&amp;" min"))</f>
        <v/>
      </c>
    </row>
    <row r="278" ht="17.18">
      <c r="A278" s="60" t="str">
        <f>IF(ISBLANK(B278),"",_xlfn.ISOWEEKNUM('Journal de travail'!$B278))</f>
        <v/>
      </c>
      <c r="B278" s="28"/>
      <c r="C278" s="29"/>
      <c r="D278" s="30"/>
      <c r="E278" s="31"/>
      <c r="F278" s="37"/>
      <c r="G278" s="37"/>
      <c r="H278" t="str">
        <f>IF(OR(ISBLANK(B278),B278=""),"",IF(B278=B277,"",INT(((SUMIF(B:B,B278,C:C)*60)+SUMIF(B:B,B278,D:D))/60)&amp;" h "&amp;TEXT(MOD((SUMIF(B:B,B278,C:C)*60)+SUMIF(B:B,B278,D:D),60),"00")&amp;" min"))</f>
        <v/>
      </c>
    </row>
    <row r="279" ht="17.18">
      <c r="A279" s="61" t="str">
        <f>IF(ISBLANK(B279),"",_xlfn.ISOWEEKNUM('Journal de travail'!$B279))</f>
        <v/>
      </c>
      <c r="B279" s="32"/>
      <c r="C279" s="33"/>
      <c r="D279" s="34"/>
      <c r="E279" s="35"/>
      <c r="F279" s="38"/>
      <c r="G279" s="38"/>
      <c r="H279" t="str">
        <f>IF(OR(ISBLANK(B279),B279=""),"",IF(B279=B278,"",INT(((SUMIF(B:B,B279,C:C)*60)+SUMIF(B:B,B279,D:D))/60)&amp;" h "&amp;TEXT(MOD((SUMIF(B:B,B279,C:C)*60)+SUMIF(B:B,B279,D:D),60),"00")&amp;" min"))</f>
        <v/>
      </c>
    </row>
    <row r="280" ht="17.18">
      <c r="A280" s="60" t="str">
        <f>IF(ISBLANK(B280),"",_xlfn.ISOWEEKNUM('Journal de travail'!$B280))</f>
        <v/>
      </c>
      <c r="B280" s="28"/>
      <c r="C280" s="29"/>
      <c r="D280" s="30"/>
      <c r="E280" s="31"/>
      <c r="F280" s="37"/>
      <c r="G280" s="37"/>
      <c r="H280" t="str">
        <f>IF(OR(ISBLANK(B280),B280=""),"",IF(B280=B279,"",INT(((SUMIF(B:B,B280,C:C)*60)+SUMIF(B:B,B280,D:D))/60)&amp;" h "&amp;TEXT(MOD((SUMIF(B:B,B280,C:C)*60)+SUMIF(B:B,B280,D:D),60),"00")&amp;" min"))</f>
        <v/>
      </c>
    </row>
    <row r="281" ht="17.18">
      <c r="A281" s="61" t="str">
        <f>IF(ISBLANK(B281),"",_xlfn.ISOWEEKNUM('Journal de travail'!$B281))</f>
        <v/>
      </c>
      <c r="B281" s="32"/>
      <c r="C281" s="33"/>
      <c r="D281" s="34"/>
      <c r="E281" s="35"/>
      <c r="F281" s="38"/>
      <c r="G281" s="38"/>
      <c r="H281" t="str">
        <f>IF(OR(ISBLANK(B281),B281=""),"",IF(B281=B280,"",INT(((SUMIF(B:B,B281,C:C)*60)+SUMIF(B:B,B281,D:D))/60)&amp;" h "&amp;TEXT(MOD((SUMIF(B:B,B281,C:C)*60)+SUMIF(B:B,B281,D:D),60),"00")&amp;" min"))</f>
        <v/>
      </c>
    </row>
    <row r="282" ht="17.18">
      <c r="A282" s="60" t="str">
        <f>IF(ISBLANK(B282),"",_xlfn.ISOWEEKNUM('Journal de travail'!$B282))</f>
        <v/>
      </c>
      <c r="B282" s="28"/>
      <c r="C282" s="29"/>
      <c r="D282" s="30"/>
      <c r="E282" s="31"/>
      <c r="F282" s="37"/>
      <c r="G282" s="37"/>
      <c r="H282" t="str">
        <f>IF(OR(ISBLANK(B282),B282=""),"",IF(B282=B281,"",INT(((SUMIF(B:B,B282,C:C)*60)+SUMIF(B:B,B282,D:D))/60)&amp;" h "&amp;TEXT(MOD((SUMIF(B:B,B282,C:C)*60)+SUMIF(B:B,B282,D:D),60),"00")&amp;" min"))</f>
        <v/>
      </c>
    </row>
    <row r="283" ht="17.18">
      <c r="A283" s="61" t="str">
        <f>IF(ISBLANK(B283),"",_xlfn.ISOWEEKNUM('Journal de travail'!$B283))</f>
        <v/>
      </c>
      <c r="B283" s="32"/>
      <c r="C283" s="33"/>
      <c r="D283" s="34"/>
      <c r="E283" s="35"/>
      <c r="F283" s="38"/>
      <c r="G283" s="38"/>
      <c r="H283" t="str">
        <f>IF(OR(ISBLANK(B283),B283=""),"",IF(B283=B282,"",INT(((SUMIF(B:B,B283,C:C)*60)+SUMIF(B:B,B283,D:D))/60)&amp;" h "&amp;TEXT(MOD((SUMIF(B:B,B283,C:C)*60)+SUMIF(B:B,B283,D:D),60),"00")&amp;" min"))</f>
        <v/>
      </c>
    </row>
    <row r="284" ht="17.18">
      <c r="A284" s="60" t="str">
        <f>IF(ISBLANK(B284),"",_xlfn.ISOWEEKNUM('Journal de travail'!$B284))</f>
        <v/>
      </c>
      <c r="B284" s="28"/>
      <c r="C284" s="29"/>
      <c r="D284" s="30"/>
      <c r="E284" s="31"/>
      <c r="F284" s="37"/>
      <c r="G284" s="37"/>
      <c r="H284" t="str">
        <f>IF(OR(ISBLANK(B284),B284=""),"",IF(B284=B283,"",INT(((SUMIF(B:B,B284,C:C)*60)+SUMIF(B:B,B284,D:D))/60)&amp;" h "&amp;TEXT(MOD((SUMIF(B:B,B284,C:C)*60)+SUMIF(B:B,B284,D:D),60),"00")&amp;" min"))</f>
        <v/>
      </c>
    </row>
    <row r="285" ht="17.18">
      <c r="A285" s="61" t="str">
        <f>IF(ISBLANK(B285),"",_xlfn.ISOWEEKNUM('Journal de travail'!$B285))</f>
        <v/>
      </c>
      <c r="B285" s="32"/>
      <c r="C285" s="33"/>
      <c r="D285" s="34"/>
      <c r="E285" s="35"/>
      <c r="F285" s="38"/>
      <c r="G285" s="38"/>
      <c r="H285" t="str">
        <f>IF(OR(ISBLANK(B285),B285=""),"",IF(B285=B284,"",INT(((SUMIF(B:B,B285,C:C)*60)+SUMIF(B:B,B285,D:D))/60)&amp;" h "&amp;TEXT(MOD((SUMIF(B:B,B285,C:C)*60)+SUMIF(B:B,B285,D:D),60),"00")&amp;" min"))</f>
        <v/>
      </c>
    </row>
    <row r="286" ht="17.18">
      <c r="A286" s="60" t="str">
        <f>IF(ISBLANK(B286),"",_xlfn.ISOWEEKNUM('Journal de travail'!$B286))</f>
        <v/>
      </c>
      <c r="B286" s="28"/>
      <c r="C286" s="29"/>
      <c r="D286" s="30"/>
      <c r="E286" s="31"/>
      <c r="F286" s="37"/>
      <c r="G286" s="37"/>
      <c r="H286" t="str">
        <f>IF(OR(ISBLANK(B286),B286=""),"",IF(B286=B285,"",INT(((SUMIF(B:B,B286,C:C)*60)+SUMIF(B:B,B286,D:D))/60)&amp;" h "&amp;TEXT(MOD((SUMIF(B:B,B286,C:C)*60)+SUMIF(B:B,B286,D:D),60),"00")&amp;" min"))</f>
        <v/>
      </c>
    </row>
    <row r="287" ht="17.18">
      <c r="A287" s="61" t="str">
        <f>IF(ISBLANK(B287),"",_xlfn.ISOWEEKNUM('Journal de travail'!$B287))</f>
        <v/>
      </c>
      <c r="B287" s="32"/>
      <c r="C287" s="33"/>
      <c r="D287" s="34"/>
      <c r="E287" s="35"/>
      <c r="F287" s="38"/>
      <c r="G287" s="38"/>
      <c r="H287" t="str">
        <f>IF(OR(ISBLANK(B287),B287=""),"",IF(B287=B286,"",INT(((SUMIF(B:B,B287,C:C)*60)+SUMIF(B:B,B287,D:D))/60)&amp;" h "&amp;TEXT(MOD((SUMIF(B:B,B287,C:C)*60)+SUMIF(B:B,B287,D:D),60),"00")&amp;" min"))</f>
        <v/>
      </c>
    </row>
    <row r="288" ht="17.18">
      <c r="A288" s="60" t="str">
        <f>IF(ISBLANK(B288),"",_xlfn.ISOWEEKNUM('Journal de travail'!$B288))</f>
        <v/>
      </c>
      <c r="B288" s="28"/>
      <c r="C288" s="29"/>
      <c r="D288" s="30"/>
      <c r="E288" s="31"/>
      <c r="F288" s="37"/>
      <c r="G288" s="37"/>
      <c r="H288" t="str">
        <f>IF(OR(ISBLANK(B288),B288=""),"",IF(B288=B287,"",INT(((SUMIF(B:B,B288,C:C)*60)+SUMIF(B:B,B288,D:D))/60)&amp;" h "&amp;TEXT(MOD((SUMIF(B:B,B288,C:C)*60)+SUMIF(B:B,B288,D:D),60),"00")&amp;" min"))</f>
        <v/>
      </c>
    </row>
    <row r="289" ht="17.18">
      <c r="A289" s="61" t="str">
        <f>IF(ISBLANK(B289),"",_xlfn.ISOWEEKNUM('Journal de travail'!$B289))</f>
        <v/>
      </c>
      <c r="B289" s="32"/>
      <c r="C289" s="33"/>
      <c r="D289" s="34"/>
      <c r="E289" s="35"/>
      <c r="F289" s="38"/>
      <c r="G289" s="38"/>
      <c r="H289" t="str">
        <f>IF(OR(ISBLANK(B289),B289=""),"",IF(B289=B288,"",INT(((SUMIF(B:B,B289,C:C)*60)+SUMIF(B:B,B289,D:D))/60)&amp;" h "&amp;TEXT(MOD((SUMIF(B:B,B289,C:C)*60)+SUMIF(B:B,B289,D:D),60),"00")&amp;" min"))</f>
        <v/>
      </c>
    </row>
    <row r="290" ht="17.18">
      <c r="A290" s="60" t="str">
        <f>IF(ISBLANK(B290),"",_xlfn.ISOWEEKNUM('Journal de travail'!$B290))</f>
        <v/>
      </c>
      <c r="B290" s="28"/>
      <c r="C290" s="29"/>
      <c r="D290" s="30"/>
      <c r="E290" s="31"/>
      <c r="F290" s="37"/>
      <c r="G290" s="37"/>
      <c r="H290" t="str">
        <f>IF(OR(ISBLANK(B290),B290=""),"",IF(B290=B289,"",INT(((SUMIF(B:B,B290,C:C)*60)+SUMIF(B:B,B290,D:D))/60)&amp;" h "&amp;TEXT(MOD((SUMIF(B:B,B290,C:C)*60)+SUMIF(B:B,B290,D:D),60),"00")&amp;" min"))</f>
        <v/>
      </c>
    </row>
    <row r="291" ht="17.18">
      <c r="A291" s="61" t="str">
        <f>IF(ISBLANK(B291),"",_xlfn.ISOWEEKNUM('Journal de travail'!$B291))</f>
        <v/>
      </c>
      <c r="B291" s="32"/>
      <c r="C291" s="33"/>
      <c r="D291" s="34"/>
      <c r="E291" s="35"/>
      <c r="F291" s="38"/>
      <c r="G291" s="38"/>
      <c r="H291" t="str">
        <f>IF(OR(ISBLANK(B291),B291=""),"",IF(B291=B290,"",INT(((SUMIF(B:B,B291,C:C)*60)+SUMIF(B:B,B291,D:D))/60)&amp;" h "&amp;TEXT(MOD((SUMIF(B:B,B291,C:C)*60)+SUMIF(B:B,B291,D:D),60),"00")&amp;" min"))</f>
        <v/>
      </c>
    </row>
    <row r="292" ht="17.18">
      <c r="A292" s="60" t="str">
        <f>IF(ISBLANK(B292),"",_xlfn.ISOWEEKNUM('Journal de travail'!$B292))</f>
        <v/>
      </c>
      <c r="B292" s="28"/>
      <c r="C292" s="29"/>
      <c r="D292" s="30"/>
      <c r="E292" s="31"/>
      <c r="F292" s="37"/>
      <c r="G292" s="37"/>
      <c r="H292" t="str">
        <f>IF(OR(ISBLANK(B292),B292=""),"",IF(B292=B291,"",INT(((SUMIF(B:B,B292,C:C)*60)+SUMIF(B:B,B292,D:D))/60)&amp;" h "&amp;TEXT(MOD((SUMIF(B:B,B292,C:C)*60)+SUMIF(B:B,B292,D:D),60),"00")&amp;" min"))</f>
        <v/>
      </c>
    </row>
    <row r="293" ht="17.18">
      <c r="A293" s="61" t="str">
        <f>IF(ISBLANK(B293),"",_xlfn.ISOWEEKNUM('Journal de travail'!$B293))</f>
        <v/>
      </c>
      <c r="B293" s="32"/>
      <c r="C293" s="33"/>
      <c r="D293" s="34"/>
      <c r="E293" s="35"/>
      <c r="F293" s="38"/>
      <c r="G293" s="38"/>
      <c r="H293" t="str">
        <f>IF(OR(ISBLANK(B293),B293=""),"",IF(B293=B292,"",INT(((SUMIF(B:B,B293,C:C)*60)+SUMIF(B:B,B293,D:D))/60)&amp;" h "&amp;TEXT(MOD((SUMIF(B:B,B293,C:C)*60)+SUMIF(B:B,B293,D:D),60),"00")&amp;" min"))</f>
        <v/>
      </c>
    </row>
    <row r="294" ht="17.18">
      <c r="A294" s="60" t="str">
        <f>IF(ISBLANK(B294),"",_xlfn.ISOWEEKNUM('Journal de travail'!$B294))</f>
        <v/>
      </c>
      <c r="B294" s="28"/>
      <c r="C294" s="29"/>
      <c r="D294" s="30"/>
      <c r="E294" s="31"/>
      <c r="F294" s="37"/>
      <c r="G294" s="37"/>
      <c r="H294" t="str">
        <f>IF(OR(ISBLANK(B294),B294=""),"",IF(B294=B293,"",INT(((SUMIF(B:B,B294,C:C)*60)+SUMIF(B:B,B294,D:D))/60)&amp;" h "&amp;TEXT(MOD((SUMIF(B:B,B294,C:C)*60)+SUMIF(B:B,B294,D:D),60),"00")&amp;" min"))</f>
        <v/>
      </c>
    </row>
    <row r="295" ht="17.18">
      <c r="A295" s="61" t="str">
        <f>IF(ISBLANK(B295),"",_xlfn.ISOWEEKNUM('Journal de travail'!$B295))</f>
        <v/>
      </c>
      <c r="B295" s="32"/>
      <c r="C295" s="33"/>
      <c r="D295" s="34"/>
      <c r="E295" s="35"/>
      <c r="F295" s="38"/>
      <c r="G295" s="38"/>
      <c r="H295" t="str">
        <f>IF(OR(ISBLANK(B295),B295=""),"",IF(B295=B294,"",INT(((SUMIF(B:B,B295,C:C)*60)+SUMIF(B:B,B295,D:D))/60)&amp;" h "&amp;TEXT(MOD((SUMIF(B:B,B295,C:C)*60)+SUMIF(B:B,B295,D:D),60),"00")&amp;" min"))</f>
        <v/>
      </c>
    </row>
    <row r="296" ht="17.18">
      <c r="A296" s="60" t="str">
        <f>IF(ISBLANK(B296),"",_xlfn.ISOWEEKNUM('Journal de travail'!$B296))</f>
        <v/>
      </c>
      <c r="B296" s="28"/>
      <c r="C296" s="29"/>
      <c r="D296" s="30"/>
      <c r="E296" s="31"/>
      <c r="F296" s="37"/>
      <c r="G296" s="37"/>
      <c r="H296" t="str">
        <f>IF(OR(ISBLANK(B296),B296=""),"",IF(B296=B295,"",INT(((SUMIF(B:B,B296,C:C)*60)+SUMIF(B:B,B296,D:D))/60)&amp;" h "&amp;TEXT(MOD((SUMIF(B:B,B296,C:C)*60)+SUMIF(B:B,B296,D:D),60),"00")&amp;" min"))</f>
        <v/>
      </c>
    </row>
    <row r="297" ht="17.18">
      <c r="A297" s="61" t="str">
        <f>IF(ISBLANK(B297),"",_xlfn.ISOWEEKNUM('Journal de travail'!$B297))</f>
        <v/>
      </c>
      <c r="B297" s="32"/>
      <c r="C297" s="33"/>
      <c r="D297" s="34"/>
      <c r="E297" s="35"/>
      <c r="F297" s="38"/>
      <c r="G297" s="38"/>
      <c r="H297" t="str">
        <f>IF(OR(ISBLANK(B297),B297=""),"",IF(B297=B296,"",INT(((SUMIF(B:B,B297,C:C)*60)+SUMIF(B:B,B297,D:D))/60)&amp;" h "&amp;TEXT(MOD((SUMIF(B:B,B297,C:C)*60)+SUMIF(B:B,B297,D:D),60),"00")&amp;" min"))</f>
        <v/>
      </c>
    </row>
    <row r="298" ht="17.18">
      <c r="A298" s="60" t="str">
        <f>IF(ISBLANK(B298),"",_xlfn.ISOWEEKNUM('Journal de travail'!$B298))</f>
        <v/>
      </c>
      <c r="B298" s="28"/>
      <c r="C298" s="29"/>
      <c r="D298" s="30"/>
      <c r="E298" s="31"/>
      <c r="F298" s="37"/>
      <c r="G298" s="37"/>
      <c r="H298" t="str">
        <f>IF(OR(ISBLANK(B298),B298=""),"",IF(B298=B297,"",INT(((SUMIF(B:B,B298,C:C)*60)+SUMIF(B:B,B298,D:D))/60)&amp;" h "&amp;TEXT(MOD((SUMIF(B:B,B298,C:C)*60)+SUMIF(B:B,B298,D:D),60),"00")&amp;" min"))</f>
        <v/>
      </c>
    </row>
    <row r="299" ht="17.18">
      <c r="A299" s="61" t="str">
        <f>IF(ISBLANK(B299),"",_xlfn.ISOWEEKNUM('Journal de travail'!$B299))</f>
        <v/>
      </c>
      <c r="B299" s="32"/>
      <c r="C299" s="33"/>
      <c r="D299" s="34"/>
      <c r="E299" s="35"/>
      <c r="F299" s="38"/>
      <c r="G299" s="38"/>
      <c r="H299" t="str">
        <f>IF(OR(ISBLANK(B299),B299=""),"",IF(B299=B298,"",INT(((SUMIF(B:B,B299,C:C)*60)+SUMIF(B:B,B299,D:D))/60)&amp;" h "&amp;TEXT(MOD((SUMIF(B:B,B299,C:C)*60)+SUMIF(B:B,B299,D:D),60),"00")&amp;" min"))</f>
        <v/>
      </c>
    </row>
    <row r="300" ht="17.18">
      <c r="A300" s="60" t="str">
        <f>IF(ISBLANK(B300),"",_xlfn.ISOWEEKNUM('Journal de travail'!$B300))</f>
        <v/>
      </c>
      <c r="B300" s="28"/>
      <c r="C300" s="29"/>
      <c r="D300" s="30"/>
      <c r="E300" s="31"/>
      <c r="F300" s="37"/>
      <c r="G300" s="37"/>
      <c r="H300" t="str">
        <f>IF(OR(ISBLANK(B300),B300=""),"",IF(B300=B299,"",INT(((SUMIF(B:B,B300,C:C)*60)+SUMIF(B:B,B300,D:D))/60)&amp;" h "&amp;TEXT(MOD((SUMIF(B:B,B300,C:C)*60)+SUMIF(B:B,B300,D:D),60),"00")&amp;" min"))</f>
        <v/>
      </c>
    </row>
    <row r="301" ht="17.18">
      <c r="A301" s="61" t="str">
        <f>IF(ISBLANK(B301),"",_xlfn.ISOWEEKNUM('Journal de travail'!$B301))</f>
        <v/>
      </c>
      <c r="B301" s="32"/>
      <c r="C301" s="33"/>
      <c r="D301" s="34"/>
      <c r="E301" s="35"/>
      <c r="F301" s="38"/>
      <c r="G301" s="38"/>
      <c r="H301" t="str">
        <f>IF(OR(ISBLANK(B301),B301=""),"",IF(B301=B300,"",INT(((SUMIF(B:B,B301,C:C)*60)+SUMIF(B:B,B301,D:D))/60)&amp;" h "&amp;TEXT(MOD((SUMIF(B:B,B301,C:C)*60)+SUMIF(B:B,B301,D:D),60),"00")&amp;" min"))</f>
        <v/>
      </c>
    </row>
    <row r="302" ht="17.18">
      <c r="A302" s="60" t="str">
        <f>IF(ISBLANK(B302),"",_xlfn.ISOWEEKNUM('Journal de travail'!$B302))</f>
        <v/>
      </c>
      <c r="B302" s="28"/>
      <c r="C302" s="29"/>
      <c r="D302" s="30"/>
      <c r="E302" s="31"/>
      <c r="F302" s="37"/>
      <c r="G302" s="37"/>
      <c r="H302" t="str">
        <f>IF(OR(ISBLANK(B302),B302=""),"",IF(B302=B301,"",INT(((SUMIF(B:B,B302,C:C)*60)+SUMIF(B:B,B302,D:D))/60)&amp;" h "&amp;TEXT(MOD((SUMIF(B:B,B302,C:C)*60)+SUMIF(B:B,B302,D:D),60),"00")&amp;" min"))</f>
        <v/>
      </c>
    </row>
    <row r="303" ht="17.18">
      <c r="A303" s="61" t="str">
        <f>IF(ISBLANK(B303),"",_xlfn.ISOWEEKNUM('Journal de travail'!$B303))</f>
        <v/>
      </c>
      <c r="B303" s="32"/>
      <c r="C303" s="33"/>
      <c r="D303" s="34"/>
      <c r="E303" s="35"/>
      <c r="F303" s="38"/>
      <c r="G303" s="38"/>
      <c r="H303" t="str">
        <f>IF(OR(ISBLANK(B303),B303=""),"",IF(B303=B302,"",INT(((SUMIF(B:B,B303,C:C)*60)+SUMIF(B:B,B303,D:D))/60)&amp;" h "&amp;TEXT(MOD((SUMIF(B:B,B303,C:C)*60)+SUMIF(B:B,B303,D:D),60),"00")&amp;" min"))</f>
        <v/>
      </c>
    </row>
    <row r="304" ht="17.18">
      <c r="A304" s="60" t="str">
        <f>IF(ISBLANK(B304),"",_xlfn.ISOWEEKNUM('Journal de travail'!$B304))</f>
        <v/>
      </c>
      <c r="B304" s="28"/>
      <c r="C304" s="29"/>
      <c r="D304" s="30"/>
      <c r="E304" s="31"/>
      <c r="F304" s="37"/>
      <c r="G304" s="37"/>
      <c r="H304" t="str">
        <f>IF(OR(ISBLANK(B304),B304=""),"",IF(B304=B303,"",INT(((SUMIF(B:B,B304,C:C)*60)+SUMIF(B:B,B304,D:D))/60)&amp;" h "&amp;TEXT(MOD((SUMIF(B:B,B304,C:C)*60)+SUMIF(B:B,B304,D:D),60),"00")&amp;" min"))</f>
        <v/>
      </c>
    </row>
    <row r="305" ht="17.18">
      <c r="A305" s="61" t="str">
        <f>IF(ISBLANK(B305),"",_xlfn.ISOWEEKNUM('Journal de travail'!$B305))</f>
        <v/>
      </c>
      <c r="B305" s="32"/>
      <c r="C305" s="33"/>
      <c r="D305" s="34"/>
      <c r="E305" s="35"/>
      <c r="F305" s="38"/>
      <c r="G305" s="38"/>
      <c r="H305" t="str">
        <f>IF(OR(ISBLANK(B305),B305=""),"",IF(B305=B304,"",INT(((SUMIF(B:B,B305,C:C)*60)+SUMIF(B:B,B305,D:D))/60)&amp;" h "&amp;TEXT(MOD((SUMIF(B:B,B305,C:C)*60)+SUMIF(B:B,B305,D:D),60),"00")&amp;" min"))</f>
        <v/>
      </c>
    </row>
    <row r="306" ht="17.18">
      <c r="A306" s="60" t="str">
        <f>IF(ISBLANK(B306),"",_xlfn.ISOWEEKNUM('Journal de travail'!$B306))</f>
        <v/>
      </c>
      <c r="B306" s="28"/>
      <c r="C306" s="29"/>
      <c r="D306" s="30"/>
      <c r="E306" s="31"/>
      <c r="F306" s="37"/>
      <c r="G306" s="37"/>
      <c r="H306" t="str">
        <f>IF(OR(ISBLANK(B306),B306=""),"",IF(B306=B305,"",INT(((SUMIF(B:B,B306,C:C)*60)+SUMIF(B:B,B306,D:D))/60)&amp;" h "&amp;TEXT(MOD((SUMIF(B:B,B306,C:C)*60)+SUMIF(B:B,B306,D:D),60),"00")&amp;" min"))</f>
        <v/>
      </c>
    </row>
    <row r="307" ht="17.18">
      <c r="A307" s="61" t="str">
        <f>IF(ISBLANK(B307),"",_xlfn.ISOWEEKNUM('Journal de travail'!$B307))</f>
        <v/>
      </c>
      <c r="B307" s="32"/>
      <c r="C307" s="33"/>
      <c r="D307" s="34"/>
      <c r="E307" s="35"/>
      <c r="F307" s="38"/>
      <c r="G307" s="38"/>
      <c r="H307" t="str">
        <f>IF(OR(ISBLANK(B307),B307=""),"",IF(B307=B306,"",INT(((SUMIF(B:B,B307,C:C)*60)+SUMIF(B:B,B307,D:D))/60)&amp;" h "&amp;TEXT(MOD((SUMIF(B:B,B307,C:C)*60)+SUMIF(B:B,B307,D:D),60),"00")&amp;" min"))</f>
        <v/>
      </c>
    </row>
    <row r="308" ht="17.18">
      <c r="A308" s="60" t="str">
        <f>IF(ISBLANK(B308),"",_xlfn.ISOWEEKNUM('Journal de travail'!$B308))</f>
        <v/>
      </c>
      <c r="B308" s="28"/>
      <c r="C308" s="29"/>
      <c r="D308" s="30"/>
      <c r="E308" s="31"/>
      <c r="F308" s="37"/>
      <c r="G308" s="37"/>
      <c r="H308" t="str">
        <f>IF(OR(ISBLANK(B308),B308=""),"",IF(B308=B307,"",INT(((SUMIF(B:B,B308,C:C)*60)+SUMIF(B:B,B308,D:D))/60)&amp;" h "&amp;TEXT(MOD((SUMIF(B:B,B308,C:C)*60)+SUMIF(B:B,B308,D:D),60),"00")&amp;" min"))</f>
        <v/>
      </c>
    </row>
    <row r="309" ht="17.18">
      <c r="A309" s="61" t="str">
        <f>IF(ISBLANK(B309),"",_xlfn.ISOWEEKNUM('Journal de travail'!$B309))</f>
        <v/>
      </c>
      <c r="B309" s="32"/>
      <c r="C309" s="33"/>
      <c r="D309" s="34"/>
      <c r="E309" s="35"/>
      <c r="F309" s="38"/>
      <c r="G309" s="38"/>
      <c r="H309" t="str">
        <f>IF(OR(ISBLANK(B309),B309=""),"",IF(B309=B308,"",INT(((SUMIF(B:B,B309,C:C)*60)+SUMIF(B:B,B309,D:D))/60)&amp;" h "&amp;TEXT(MOD((SUMIF(B:B,B309,C:C)*60)+SUMIF(B:B,B309,D:D),60),"00")&amp;" min"))</f>
        <v/>
      </c>
    </row>
    <row r="310" ht="17.18">
      <c r="A310" s="60" t="str">
        <f>IF(ISBLANK(B310),"",_xlfn.ISOWEEKNUM('Journal de travail'!$B310))</f>
        <v/>
      </c>
      <c r="B310" s="28"/>
      <c r="C310" s="29"/>
      <c r="D310" s="30"/>
      <c r="E310" s="31"/>
      <c r="F310" s="37"/>
      <c r="G310" s="37"/>
      <c r="H310" t="str">
        <f>IF(OR(ISBLANK(B310),B310=""),"",IF(B310=B309,"",INT(((SUMIF(B:B,B310,C:C)*60)+SUMIF(B:B,B310,D:D))/60)&amp;" h "&amp;TEXT(MOD((SUMIF(B:B,B310,C:C)*60)+SUMIF(B:B,B310,D:D),60),"00")&amp;" min"))</f>
        <v/>
      </c>
    </row>
    <row r="311" ht="17.18">
      <c r="A311" s="61" t="str">
        <f>IF(ISBLANK(B311),"",_xlfn.ISOWEEKNUM('Journal de travail'!$B311))</f>
        <v/>
      </c>
      <c r="B311" s="32"/>
      <c r="C311" s="33"/>
      <c r="D311" s="34"/>
      <c r="E311" s="35"/>
      <c r="F311" s="38"/>
      <c r="G311" s="38"/>
      <c r="H311" t="str">
        <f>IF(OR(ISBLANK(B311),B311=""),"",IF(B311=B310,"",INT(((SUMIF(B:B,B311,C:C)*60)+SUMIF(B:B,B311,D:D))/60)&amp;" h "&amp;TEXT(MOD((SUMIF(B:B,B311,C:C)*60)+SUMIF(B:B,B311,D:D),60),"00")&amp;" min"))</f>
        <v/>
      </c>
    </row>
    <row r="312" ht="17.18">
      <c r="A312" s="60" t="str">
        <f>IF(ISBLANK(B312),"",_xlfn.ISOWEEKNUM('Journal de travail'!$B312))</f>
        <v/>
      </c>
      <c r="B312" s="28"/>
      <c r="C312" s="29"/>
      <c r="D312" s="30"/>
      <c r="E312" s="31"/>
      <c r="F312" s="37"/>
      <c r="G312" s="37"/>
      <c r="H312" t="str">
        <f>IF(OR(ISBLANK(B312),B312=""),"",IF(B312=B311,"",INT(((SUMIF(B:B,B312,C:C)*60)+SUMIF(B:B,B312,D:D))/60)&amp;" h "&amp;TEXT(MOD((SUMIF(B:B,B312,C:C)*60)+SUMIF(B:B,B312,D:D),60),"00")&amp;" min"))</f>
        <v/>
      </c>
    </row>
    <row r="313" ht="17.18">
      <c r="A313" s="61" t="str">
        <f>IF(ISBLANK(B313),"",_xlfn.ISOWEEKNUM('Journal de travail'!$B313))</f>
        <v/>
      </c>
      <c r="B313" s="32"/>
      <c r="C313" s="33"/>
      <c r="D313" s="34"/>
      <c r="E313" s="35"/>
      <c r="F313" s="38"/>
      <c r="G313" s="38"/>
      <c r="H313" t="str">
        <f>IF(OR(ISBLANK(B313),B313=""),"",IF(B313=B312,"",INT(((SUMIF(B:B,B313,C:C)*60)+SUMIF(B:B,B313,D:D))/60)&amp;" h "&amp;TEXT(MOD((SUMIF(B:B,B313,C:C)*60)+SUMIF(B:B,B313,D:D),60),"00")&amp;" min"))</f>
        <v/>
      </c>
    </row>
    <row r="314" ht="17.18">
      <c r="A314" s="60" t="str">
        <f>IF(ISBLANK(B314),"",_xlfn.ISOWEEKNUM('Journal de travail'!$B314))</f>
        <v/>
      </c>
      <c r="B314" s="28"/>
      <c r="C314" s="29"/>
      <c r="D314" s="30"/>
      <c r="E314" s="31"/>
      <c r="F314" s="37"/>
      <c r="G314" s="37"/>
      <c r="H314" t="str">
        <f>IF(OR(ISBLANK(B314),B314=""),"",IF(B314=B313,"",INT(((SUMIF(B:B,B314,C:C)*60)+SUMIF(B:B,B314,D:D))/60)&amp;" h "&amp;TEXT(MOD((SUMIF(B:B,B314,C:C)*60)+SUMIF(B:B,B314,D:D),60),"00")&amp;" min"))</f>
        <v/>
      </c>
    </row>
    <row r="315" ht="17.18">
      <c r="A315" s="61" t="str">
        <f>IF(ISBLANK(B315),"",_xlfn.ISOWEEKNUM('Journal de travail'!$B315))</f>
        <v/>
      </c>
      <c r="B315" s="32"/>
      <c r="C315" s="33"/>
      <c r="D315" s="34"/>
      <c r="E315" s="35"/>
      <c r="F315" s="38"/>
      <c r="G315" s="38"/>
      <c r="H315" t="str">
        <f>IF(OR(ISBLANK(B315),B315=""),"",IF(B315=B314,"",INT(((SUMIF(B:B,B315,C:C)*60)+SUMIF(B:B,B315,D:D))/60)&amp;" h "&amp;TEXT(MOD((SUMIF(B:B,B315,C:C)*60)+SUMIF(B:B,B315,D:D),60),"00")&amp;" min"))</f>
        <v/>
      </c>
    </row>
    <row r="316" ht="17.18">
      <c r="A316" s="60" t="str">
        <f>IF(ISBLANK(B316),"",_xlfn.ISOWEEKNUM('Journal de travail'!$B316))</f>
        <v/>
      </c>
      <c r="B316" s="28"/>
      <c r="C316" s="29"/>
      <c r="D316" s="30"/>
      <c r="E316" s="31"/>
      <c r="F316" s="37"/>
      <c r="G316" s="37"/>
      <c r="H316" t="str">
        <f>IF(OR(ISBLANK(B316),B316=""),"",IF(B316=B315,"",INT(((SUMIF(B:B,B316,C:C)*60)+SUMIF(B:B,B316,D:D))/60)&amp;" h "&amp;TEXT(MOD((SUMIF(B:B,B316,C:C)*60)+SUMIF(B:B,B316,D:D),60),"00")&amp;" min"))</f>
        <v/>
      </c>
    </row>
    <row r="317" ht="17.18">
      <c r="A317" s="61" t="str">
        <f>IF(ISBLANK(B317),"",_xlfn.ISOWEEKNUM('Journal de travail'!$B317))</f>
        <v/>
      </c>
      <c r="B317" s="32"/>
      <c r="C317" s="33"/>
      <c r="D317" s="34"/>
      <c r="E317" s="35"/>
      <c r="F317" s="38"/>
      <c r="G317" s="38"/>
      <c r="H317" t="str">
        <f>IF(OR(ISBLANK(B317),B317=""),"",IF(B317=B316,"",INT(((SUMIF(B:B,B317,C:C)*60)+SUMIF(B:B,B317,D:D))/60)&amp;" h "&amp;TEXT(MOD((SUMIF(B:B,B317,C:C)*60)+SUMIF(B:B,B317,D:D),60),"00")&amp;" min"))</f>
        <v/>
      </c>
    </row>
    <row r="318" ht="17.18">
      <c r="A318" s="60" t="str">
        <f>IF(ISBLANK(B318),"",_xlfn.ISOWEEKNUM('Journal de travail'!$B318))</f>
        <v/>
      </c>
      <c r="B318" s="28"/>
      <c r="C318" s="29"/>
      <c r="D318" s="30"/>
      <c r="E318" s="31"/>
      <c r="F318" s="37"/>
      <c r="G318" s="37"/>
      <c r="H318" t="str">
        <f>IF(OR(ISBLANK(B318),B318=""),"",IF(B318=B317,"",INT(((SUMIF(B:B,B318,C:C)*60)+SUMIF(B:B,B318,D:D))/60)&amp;" h "&amp;TEXT(MOD((SUMIF(B:B,B318,C:C)*60)+SUMIF(B:B,B318,D:D),60),"00")&amp;" min"))</f>
        <v/>
      </c>
    </row>
    <row r="319" ht="17.18">
      <c r="A319" s="61" t="str">
        <f>IF(ISBLANK(B319),"",_xlfn.ISOWEEKNUM('Journal de travail'!$B319))</f>
        <v/>
      </c>
      <c r="B319" s="32"/>
      <c r="C319" s="33"/>
      <c r="D319" s="34"/>
      <c r="E319" s="35"/>
      <c r="F319" s="38"/>
      <c r="G319" s="38"/>
      <c r="H319" t="str">
        <f>IF(OR(ISBLANK(B319),B319=""),"",IF(B319=B318,"",INT(((SUMIF(B:B,B319,C:C)*60)+SUMIF(B:B,B319,D:D))/60)&amp;" h "&amp;TEXT(MOD((SUMIF(B:B,B319,C:C)*60)+SUMIF(B:B,B319,D:D),60),"00")&amp;" min"))</f>
        <v/>
      </c>
    </row>
    <row r="320" ht="17.18">
      <c r="A320" s="60" t="str">
        <f>IF(ISBLANK(B320),"",_xlfn.ISOWEEKNUM('Journal de travail'!$B320))</f>
        <v/>
      </c>
      <c r="B320" s="28"/>
      <c r="C320" s="29"/>
      <c r="D320" s="30"/>
      <c r="E320" s="31"/>
      <c r="F320" s="37"/>
      <c r="G320" s="37"/>
      <c r="H320" t="str">
        <f>IF(OR(ISBLANK(B320),B320=""),"",IF(B320=B319,"",INT(((SUMIF(B:B,B320,C:C)*60)+SUMIF(B:B,B320,D:D))/60)&amp;" h "&amp;TEXT(MOD((SUMIF(B:B,B320,C:C)*60)+SUMIF(B:B,B320,D:D),60),"00")&amp;" min"))</f>
        <v/>
      </c>
    </row>
    <row r="321" ht="17.18">
      <c r="A321" s="61" t="str">
        <f>IF(ISBLANK(B321),"",_xlfn.ISOWEEKNUM('Journal de travail'!$B321))</f>
        <v/>
      </c>
      <c r="B321" s="32"/>
      <c r="C321" s="33"/>
      <c r="D321" s="34"/>
      <c r="E321" s="35"/>
      <c r="F321" s="38"/>
      <c r="G321" s="38"/>
      <c r="H321" t="str">
        <f>IF(OR(ISBLANK(B321),B321=""),"",IF(B321=B320,"",INT(((SUMIF(B:B,B321,C:C)*60)+SUMIF(B:B,B321,D:D))/60)&amp;" h "&amp;TEXT(MOD((SUMIF(B:B,B321,C:C)*60)+SUMIF(B:B,B321,D:D),60),"00")&amp;" min"))</f>
        <v/>
      </c>
    </row>
    <row r="322" ht="17.18">
      <c r="A322" s="60" t="str">
        <f>IF(ISBLANK(B322),"",_xlfn.ISOWEEKNUM('Journal de travail'!$B322))</f>
        <v/>
      </c>
      <c r="B322" s="28"/>
      <c r="C322" s="29"/>
      <c r="D322" s="30"/>
      <c r="E322" s="31"/>
      <c r="F322" s="37"/>
      <c r="G322" s="37"/>
      <c r="H322" t="str">
        <f>IF(OR(ISBLANK(B322),B322=""),"",IF(B322=B321,"",INT(((SUMIF(B:B,B322,C:C)*60)+SUMIF(B:B,B322,D:D))/60)&amp;" h "&amp;TEXT(MOD((SUMIF(B:B,B322,C:C)*60)+SUMIF(B:B,B322,D:D),60),"00")&amp;" min"))</f>
        <v/>
      </c>
    </row>
    <row r="323" ht="17.18">
      <c r="A323" s="61" t="str">
        <f>IF(ISBLANK(B323),"",_xlfn.ISOWEEKNUM('Journal de travail'!$B323))</f>
        <v/>
      </c>
      <c r="B323" s="32"/>
      <c r="C323" s="33"/>
      <c r="D323" s="34"/>
      <c r="E323" s="35"/>
      <c r="F323" s="38"/>
      <c r="G323" s="38"/>
      <c r="H323" t="str">
        <f>IF(OR(ISBLANK(B323),B323=""),"",IF(B323=B322,"",INT(((SUMIF(B:B,B323,C:C)*60)+SUMIF(B:B,B323,D:D))/60)&amp;" h "&amp;TEXT(MOD((SUMIF(B:B,B323,C:C)*60)+SUMIF(B:B,B323,D:D),60),"00")&amp;" min"))</f>
        <v/>
      </c>
    </row>
    <row r="324" ht="17.18">
      <c r="A324" s="60" t="str">
        <f>IF(ISBLANK(B324),"",_xlfn.ISOWEEKNUM('Journal de travail'!$B324))</f>
        <v/>
      </c>
      <c r="B324" s="28"/>
      <c r="C324" s="29"/>
      <c r="D324" s="30"/>
      <c r="E324" s="31"/>
      <c r="F324" s="37"/>
      <c r="G324" s="37"/>
      <c r="H324" t="str">
        <f>IF(OR(ISBLANK(B324),B324=""),"",IF(B324=B323,"",INT(((SUMIF(B:B,B324,C:C)*60)+SUMIF(B:B,B324,D:D))/60)&amp;" h "&amp;TEXT(MOD((SUMIF(B:B,B324,C:C)*60)+SUMIF(B:B,B324,D:D),60),"00")&amp;" min"))</f>
        <v/>
      </c>
    </row>
    <row r="325" ht="17.18">
      <c r="A325" s="61" t="str">
        <f>IF(ISBLANK(B325),"",_xlfn.ISOWEEKNUM('Journal de travail'!$B325))</f>
        <v/>
      </c>
      <c r="B325" s="32"/>
      <c r="C325" s="33"/>
      <c r="D325" s="34"/>
      <c r="E325" s="35"/>
      <c r="F325" s="38"/>
      <c r="G325" s="38"/>
      <c r="H325" t="str">
        <f>IF(OR(ISBLANK(B325),B325=""),"",IF(B325=B324,"",INT(((SUMIF(B:B,B325,C:C)*60)+SUMIF(B:B,B325,D:D))/60)&amp;" h "&amp;TEXT(MOD((SUMIF(B:B,B325,C:C)*60)+SUMIF(B:B,B325,D:D),60),"00")&amp;" min"))</f>
        <v/>
      </c>
    </row>
    <row r="326" ht="17.18">
      <c r="A326" s="60" t="str">
        <f>IF(ISBLANK(B326),"",_xlfn.ISOWEEKNUM('Journal de travail'!$B326))</f>
        <v/>
      </c>
      <c r="B326" s="28"/>
      <c r="C326" s="29"/>
      <c r="D326" s="30"/>
      <c r="E326" s="31"/>
      <c r="F326" s="37"/>
      <c r="G326" s="37"/>
      <c r="H326" t="str">
        <f>IF(OR(ISBLANK(B326),B326=""),"",IF(B326=B325,"",INT(((SUMIF(B:B,B326,C:C)*60)+SUMIF(B:B,B326,D:D))/60)&amp;" h "&amp;TEXT(MOD((SUMIF(B:B,B326,C:C)*60)+SUMIF(B:B,B326,D:D),60),"00")&amp;" min"))</f>
        <v/>
      </c>
    </row>
    <row r="327" ht="17.18">
      <c r="A327" s="61" t="str">
        <f>IF(ISBLANK(B327),"",_xlfn.ISOWEEKNUM('Journal de travail'!$B327))</f>
        <v/>
      </c>
      <c r="B327" s="32"/>
      <c r="C327" s="33"/>
      <c r="D327" s="34"/>
      <c r="E327" s="35"/>
      <c r="F327" s="38"/>
      <c r="G327" s="38"/>
      <c r="H327" t="str">
        <f>IF(OR(ISBLANK(B327),B327=""),"",IF(B327=B326,"",INT(((SUMIF(B:B,B327,C:C)*60)+SUMIF(B:B,B327,D:D))/60)&amp;" h "&amp;TEXT(MOD((SUMIF(B:B,B327,C:C)*60)+SUMIF(B:B,B327,D:D),60),"00")&amp;" min"))</f>
        <v/>
      </c>
    </row>
    <row r="328" ht="17.18">
      <c r="A328" s="60" t="str">
        <f>IF(ISBLANK(B328),"",_xlfn.ISOWEEKNUM('Journal de travail'!$B328))</f>
        <v/>
      </c>
      <c r="B328" s="28"/>
      <c r="C328" s="29"/>
      <c r="D328" s="30"/>
      <c r="E328" s="31"/>
      <c r="F328" s="37"/>
      <c r="G328" s="37"/>
      <c r="H328" t="str">
        <f>IF(OR(ISBLANK(B328),B328=""),"",IF(B328=B327,"",INT(((SUMIF(B:B,B328,C:C)*60)+SUMIF(B:B,B328,D:D))/60)&amp;" h "&amp;TEXT(MOD((SUMIF(B:B,B328,C:C)*60)+SUMIF(B:B,B328,D:D),60),"00")&amp;" min"))</f>
        <v/>
      </c>
    </row>
    <row r="329" ht="17.18">
      <c r="A329" s="61" t="str">
        <f>IF(ISBLANK(B329),"",_xlfn.ISOWEEKNUM('Journal de travail'!$B329))</f>
        <v/>
      </c>
      <c r="B329" s="32"/>
      <c r="C329" s="33"/>
      <c r="D329" s="34"/>
      <c r="E329" s="35"/>
      <c r="F329" s="38"/>
      <c r="G329" s="38"/>
      <c r="H329" t="str">
        <f>IF(OR(ISBLANK(B329),B329=""),"",IF(B329=B328,"",INT(((SUMIF(B:B,B329,C:C)*60)+SUMIF(B:B,B329,D:D))/60)&amp;" h "&amp;TEXT(MOD((SUMIF(B:B,B329,C:C)*60)+SUMIF(B:B,B329,D:D),60),"00")&amp;" min"))</f>
        <v/>
      </c>
    </row>
    <row r="330" ht="17.18">
      <c r="A330" s="60" t="str">
        <f>IF(ISBLANK(B330),"",_xlfn.ISOWEEKNUM('Journal de travail'!$B330))</f>
        <v/>
      </c>
      <c r="B330" s="28"/>
      <c r="C330" s="29"/>
      <c r="D330" s="30"/>
      <c r="E330" s="31"/>
      <c r="F330" s="37"/>
      <c r="G330" s="37"/>
      <c r="H330" t="str">
        <f>IF(OR(ISBLANK(B330),B330=""),"",IF(B330=B329,"",INT(((SUMIF(B:B,B330,C:C)*60)+SUMIF(B:B,B330,D:D))/60)&amp;" h "&amp;TEXT(MOD((SUMIF(B:B,B330,C:C)*60)+SUMIF(B:B,B330,D:D),60),"00")&amp;" min"))</f>
        <v/>
      </c>
    </row>
    <row r="331" ht="17.18">
      <c r="A331" s="61" t="str">
        <f>IF(ISBLANK(B331),"",_xlfn.ISOWEEKNUM('Journal de travail'!$B331))</f>
        <v/>
      </c>
      <c r="B331" s="32"/>
      <c r="C331" s="33"/>
      <c r="D331" s="34"/>
      <c r="E331" s="35"/>
      <c r="F331" s="38"/>
      <c r="G331" s="38"/>
      <c r="H331" t="str">
        <f>IF(OR(ISBLANK(B331),B331=""),"",IF(B331=B330,"",INT(((SUMIF(B:B,B331,C:C)*60)+SUMIF(B:B,B331,D:D))/60)&amp;" h "&amp;TEXT(MOD((SUMIF(B:B,B331,C:C)*60)+SUMIF(B:B,B331,D:D),60),"00")&amp;" min"))</f>
        <v/>
      </c>
    </row>
    <row r="332" ht="17.18">
      <c r="A332" s="60" t="str">
        <f>IF(ISBLANK(B332),"",_xlfn.ISOWEEKNUM('Journal de travail'!$B332))</f>
        <v/>
      </c>
      <c r="B332" s="28"/>
      <c r="C332" s="29"/>
      <c r="D332" s="30"/>
      <c r="E332" s="31"/>
      <c r="F332" s="37"/>
      <c r="G332" s="37"/>
      <c r="H332" t="str">
        <f>IF(OR(ISBLANK(B332),B332=""),"",IF(B332=B331,"",INT(((SUMIF(B:B,B332,C:C)*60)+SUMIF(B:B,B332,D:D))/60)&amp;" h "&amp;TEXT(MOD((SUMIF(B:B,B332,C:C)*60)+SUMIF(B:B,B332,D:D),60),"00")&amp;" min"))</f>
        <v/>
      </c>
    </row>
    <row r="333" ht="17.18">
      <c r="A333" s="61" t="str">
        <f>IF(ISBLANK(B333),"",_xlfn.ISOWEEKNUM('Journal de travail'!$B333))</f>
        <v/>
      </c>
      <c r="B333" s="32"/>
      <c r="C333" s="33"/>
      <c r="D333" s="34"/>
      <c r="E333" s="35"/>
      <c r="F333" s="38"/>
      <c r="G333" s="38"/>
      <c r="H333" t="str">
        <f>IF(OR(ISBLANK(B333),B333=""),"",IF(B333=B332,"",INT(((SUMIF(B:B,B333,C:C)*60)+SUMIF(B:B,B333,D:D))/60)&amp;" h "&amp;TEXT(MOD((SUMIF(B:B,B333,C:C)*60)+SUMIF(B:B,B333,D:D),60),"00")&amp;" min"))</f>
        <v/>
      </c>
    </row>
    <row r="334" ht="17.18">
      <c r="A334" s="60" t="str">
        <f>IF(ISBLANK(B334),"",_xlfn.ISOWEEKNUM('Journal de travail'!$B334))</f>
        <v/>
      </c>
      <c r="B334" s="28"/>
      <c r="C334" s="29"/>
      <c r="D334" s="30"/>
      <c r="E334" s="31"/>
      <c r="F334" s="37"/>
      <c r="G334" s="37"/>
      <c r="H334" t="str">
        <f>IF(OR(ISBLANK(B334),B334=""),"",IF(B334=B333,"",INT(((SUMIF(B:B,B334,C:C)*60)+SUMIF(B:B,B334,D:D))/60)&amp;" h "&amp;TEXT(MOD((SUMIF(B:B,B334,C:C)*60)+SUMIF(B:B,B334,D:D),60),"00")&amp;" min"))</f>
        <v/>
      </c>
    </row>
    <row r="335" ht="17.18">
      <c r="A335" s="61" t="str">
        <f>IF(ISBLANK(B335),"",_xlfn.ISOWEEKNUM('Journal de travail'!$B335))</f>
        <v/>
      </c>
      <c r="B335" s="32"/>
      <c r="C335" s="33"/>
      <c r="D335" s="34"/>
      <c r="E335" s="35"/>
      <c r="F335" s="38"/>
      <c r="G335" s="38"/>
      <c r="H335" t="str">
        <f>IF(OR(ISBLANK(B335),B335=""),"",IF(B335=B334,"",INT(((SUMIF(B:B,B335,C:C)*60)+SUMIF(B:B,B335,D:D))/60)&amp;" h "&amp;TEXT(MOD((SUMIF(B:B,B335,C:C)*60)+SUMIF(B:B,B335,D:D),60),"00")&amp;" min"))</f>
        <v/>
      </c>
    </row>
    <row r="336" ht="17.18">
      <c r="A336" s="60" t="str">
        <f>IF(ISBLANK(B336),"",_xlfn.ISOWEEKNUM('Journal de travail'!$B336))</f>
        <v/>
      </c>
      <c r="B336" s="28"/>
      <c r="C336" s="29"/>
      <c r="D336" s="30"/>
      <c r="E336" s="31"/>
      <c r="F336" s="37"/>
      <c r="G336" s="37"/>
      <c r="H336" t="str">
        <f>IF(OR(ISBLANK(B336),B336=""),"",IF(B336=B335,"",INT(((SUMIF(B:B,B336,C:C)*60)+SUMIF(B:B,B336,D:D))/60)&amp;" h "&amp;TEXT(MOD((SUMIF(B:B,B336,C:C)*60)+SUMIF(B:B,B336,D:D),60),"00")&amp;" min"))</f>
        <v/>
      </c>
    </row>
    <row r="337" ht="17.18">
      <c r="A337" s="61" t="str">
        <f>IF(ISBLANK(B337),"",_xlfn.ISOWEEKNUM('Journal de travail'!$B337))</f>
        <v/>
      </c>
      <c r="B337" s="32"/>
      <c r="C337" s="33"/>
      <c r="D337" s="34"/>
      <c r="E337" s="35"/>
      <c r="F337" s="38"/>
      <c r="G337" s="38"/>
      <c r="H337" t="str">
        <f>IF(OR(ISBLANK(B337),B337=""),"",IF(B337=B336,"",INT(((SUMIF(B:B,B337,C:C)*60)+SUMIF(B:B,B337,D:D))/60)&amp;" h "&amp;TEXT(MOD((SUMIF(B:B,B337,C:C)*60)+SUMIF(B:B,B337,D:D),60),"00")&amp;" min"))</f>
        <v/>
      </c>
    </row>
    <row r="338" ht="17.18">
      <c r="A338" s="60" t="str">
        <f>IF(ISBLANK(B338),"",_xlfn.ISOWEEKNUM('Journal de travail'!$B338))</f>
        <v/>
      </c>
      <c r="B338" s="28"/>
      <c r="C338" s="29"/>
      <c r="D338" s="30"/>
      <c r="E338" s="31"/>
      <c r="F338" s="37"/>
      <c r="G338" s="37"/>
      <c r="H338" t="str">
        <f>IF(OR(ISBLANK(B338),B338=""),"",IF(B338=B337,"",INT(((SUMIF(B:B,B338,C:C)*60)+SUMIF(B:B,B338,D:D))/60)&amp;" h "&amp;TEXT(MOD((SUMIF(B:B,B338,C:C)*60)+SUMIF(B:B,B338,D:D),60),"00")&amp;" min"))</f>
        <v/>
      </c>
    </row>
    <row r="339" ht="17.18">
      <c r="A339" s="61" t="str">
        <f>IF(ISBLANK(B339),"",_xlfn.ISOWEEKNUM('Journal de travail'!$B339))</f>
        <v/>
      </c>
      <c r="B339" s="32"/>
      <c r="C339" s="33"/>
      <c r="D339" s="34"/>
      <c r="E339" s="35"/>
      <c r="F339" s="38"/>
      <c r="G339" s="38"/>
      <c r="H339" t="str">
        <f>IF(OR(ISBLANK(B339),B339=""),"",IF(B339=B338,"",INT(((SUMIF(B:B,B339,C:C)*60)+SUMIF(B:B,B339,D:D))/60)&amp;" h "&amp;TEXT(MOD((SUMIF(B:B,B339,C:C)*60)+SUMIF(B:B,B339,D:D),60),"00")&amp;" min"))</f>
        <v/>
      </c>
    </row>
    <row r="340" ht="17.18">
      <c r="A340" s="60" t="str">
        <f>IF(ISBLANK(B340),"",_xlfn.ISOWEEKNUM('Journal de travail'!$B340))</f>
        <v/>
      </c>
      <c r="B340" s="28"/>
      <c r="C340" s="29"/>
      <c r="D340" s="30"/>
      <c r="E340" s="31"/>
      <c r="F340" s="37"/>
      <c r="G340" s="37"/>
      <c r="H340" t="str">
        <f>IF(OR(ISBLANK(B340),B340=""),"",IF(B340=B339,"",INT(((SUMIF(B:B,B340,C:C)*60)+SUMIF(B:B,B340,D:D))/60)&amp;" h "&amp;TEXT(MOD((SUMIF(B:B,B340,C:C)*60)+SUMIF(B:B,B340,D:D),60),"00")&amp;" min"))</f>
        <v/>
      </c>
    </row>
    <row r="341" ht="17.18">
      <c r="A341" s="61" t="str">
        <f>IF(ISBLANK(B341),"",_xlfn.ISOWEEKNUM('Journal de travail'!$B341))</f>
        <v/>
      </c>
      <c r="B341" s="32"/>
      <c r="C341" s="33"/>
      <c r="D341" s="34"/>
      <c r="E341" s="35"/>
      <c r="F341" s="38"/>
      <c r="G341" s="38"/>
      <c r="H341" t="str">
        <f>IF(OR(ISBLANK(B341),B341=""),"",IF(B341=B340,"",INT(((SUMIF(B:B,B341,C:C)*60)+SUMIF(B:B,B341,D:D))/60)&amp;" h "&amp;TEXT(MOD((SUMIF(B:B,B341,C:C)*60)+SUMIF(B:B,B341,D:D),60),"00")&amp;" min"))</f>
        <v/>
      </c>
    </row>
    <row r="342" ht="17.18">
      <c r="A342" s="60" t="str">
        <f>IF(ISBLANK(B342),"",_xlfn.ISOWEEKNUM('Journal de travail'!$B342))</f>
        <v/>
      </c>
      <c r="B342" s="28"/>
      <c r="C342" s="29"/>
      <c r="D342" s="30"/>
      <c r="E342" s="31"/>
      <c r="F342" s="37"/>
      <c r="G342" s="37"/>
      <c r="H342" t="str">
        <f>IF(OR(ISBLANK(B342),B342=""),"",IF(B342=B341,"",INT(((SUMIF(B:B,B342,C:C)*60)+SUMIF(B:B,B342,D:D))/60)&amp;" h "&amp;TEXT(MOD((SUMIF(B:B,B342,C:C)*60)+SUMIF(B:B,B342,D:D),60),"00")&amp;" min"))</f>
        <v/>
      </c>
    </row>
    <row r="343" ht="17.18">
      <c r="A343" s="61" t="str">
        <f>IF(ISBLANK(B343),"",_xlfn.ISOWEEKNUM('Journal de travail'!$B343))</f>
        <v/>
      </c>
      <c r="B343" s="32"/>
      <c r="C343" s="33"/>
      <c r="D343" s="34"/>
      <c r="E343" s="35"/>
      <c r="F343" s="38"/>
      <c r="G343" s="38"/>
      <c r="H343" t="str">
        <f>IF(OR(ISBLANK(B343),B343=""),"",IF(B343=B342,"",INT(((SUMIF(B:B,B343,C:C)*60)+SUMIF(B:B,B343,D:D))/60)&amp;" h "&amp;TEXT(MOD((SUMIF(B:B,B343,C:C)*60)+SUMIF(B:B,B343,D:D),60),"00")&amp;" min"))</f>
        <v/>
      </c>
    </row>
    <row r="344" ht="17.18">
      <c r="A344" s="60" t="str">
        <f>IF(ISBLANK(B344),"",_xlfn.ISOWEEKNUM('Journal de travail'!$B344))</f>
        <v/>
      </c>
      <c r="B344" s="28"/>
      <c r="C344" s="29"/>
      <c r="D344" s="30"/>
      <c r="E344" s="31"/>
      <c r="F344" s="37"/>
      <c r="G344" s="37"/>
      <c r="H344" t="str">
        <f>IF(OR(ISBLANK(B344),B344=""),"",IF(B344=B343,"",INT(((SUMIF(B:B,B344,C:C)*60)+SUMIF(B:B,B344,D:D))/60)&amp;" h "&amp;TEXT(MOD((SUMIF(B:B,B344,C:C)*60)+SUMIF(B:B,B344,D:D),60),"00")&amp;" min"))</f>
        <v/>
      </c>
    </row>
    <row r="345" ht="17.18">
      <c r="A345" s="61" t="str">
        <f>IF(ISBLANK(B345),"",_xlfn.ISOWEEKNUM('Journal de travail'!$B345))</f>
        <v/>
      </c>
      <c r="B345" s="32"/>
      <c r="C345" s="33"/>
      <c r="D345" s="34"/>
      <c r="E345" s="35"/>
      <c r="F345" s="38"/>
      <c r="G345" s="38"/>
      <c r="H345" t="str">
        <f>IF(OR(ISBLANK(B345),B345=""),"",IF(B345=B344,"",INT(((SUMIF(B:B,B345,C:C)*60)+SUMIF(B:B,B345,D:D))/60)&amp;" h "&amp;TEXT(MOD((SUMIF(B:B,B345,C:C)*60)+SUMIF(B:B,B345,D:D),60),"00")&amp;" min"))</f>
        <v/>
      </c>
    </row>
    <row r="346" ht="17.18">
      <c r="A346" s="60" t="str">
        <f>IF(ISBLANK(B346),"",_xlfn.ISOWEEKNUM('Journal de travail'!$B346))</f>
        <v/>
      </c>
      <c r="B346" s="28"/>
      <c r="C346" s="29"/>
      <c r="D346" s="30"/>
      <c r="E346" s="31"/>
      <c r="F346" s="37"/>
      <c r="G346" s="37"/>
      <c r="H346" t="str">
        <f>IF(OR(ISBLANK(B346),B346=""),"",IF(B346=B345,"",INT(((SUMIF(B:B,B346,C:C)*60)+SUMIF(B:B,B346,D:D))/60)&amp;" h "&amp;TEXT(MOD((SUMIF(B:B,B346,C:C)*60)+SUMIF(B:B,B346,D:D),60),"00")&amp;" min"))</f>
        <v/>
      </c>
    </row>
    <row r="347" ht="17.18">
      <c r="A347" s="61" t="str">
        <f>IF(ISBLANK(B347),"",_xlfn.ISOWEEKNUM('Journal de travail'!$B347))</f>
        <v/>
      </c>
      <c r="B347" s="32"/>
      <c r="C347" s="33"/>
      <c r="D347" s="34"/>
      <c r="E347" s="35"/>
      <c r="F347" s="38"/>
      <c r="G347" s="38"/>
      <c r="H347" t="str">
        <f>IF(OR(ISBLANK(B347),B347=""),"",IF(B347=B346,"",INT(((SUMIF(B:B,B347,C:C)*60)+SUMIF(B:B,B347,D:D))/60)&amp;" h "&amp;TEXT(MOD((SUMIF(B:B,B347,C:C)*60)+SUMIF(B:B,B347,D:D),60),"00")&amp;" min"))</f>
        <v/>
      </c>
    </row>
    <row r="348" ht="17.18">
      <c r="A348" s="60" t="str">
        <f>IF(ISBLANK(B348),"",_xlfn.ISOWEEKNUM('Journal de travail'!$B348))</f>
        <v/>
      </c>
      <c r="B348" s="28"/>
      <c r="C348" s="29"/>
      <c r="D348" s="30"/>
      <c r="E348" s="31"/>
      <c r="F348" s="37"/>
      <c r="G348" s="37"/>
      <c r="H348" t="str">
        <f>IF(OR(ISBLANK(B348),B348=""),"",IF(B348=B347,"",INT(((SUMIF(B:B,B348,C:C)*60)+SUMIF(B:B,B348,D:D))/60)&amp;" h "&amp;TEXT(MOD((SUMIF(B:B,B348,C:C)*60)+SUMIF(B:B,B348,D:D),60),"00")&amp;" min"))</f>
        <v/>
      </c>
    </row>
    <row r="349" ht="17.18">
      <c r="A349" s="61" t="str">
        <f>IF(ISBLANK(B349),"",_xlfn.ISOWEEKNUM('Journal de travail'!$B349))</f>
        <v/>
      </c>
      <c r="B349" s="32"/>
      <c r="C349" s="33"/>
      <c r="D349" s="34"/>
      <c r="E349" s="35"/>
      <c r="F349" s="38"/>
      <c r="G349" s="38"/>
      <c r="H349" t="str">
        <f>IF(OR(ISBLANK(B349),B349=""),"",IF(B349=B348,"",INT(((SUMIF(B:B,B349,C:C)*60)+SUMIF(B:B,B349,D:D))/60)&amp;" h "&amp;TEXT(MOD((SUMIF(B:B,B349,C:C)*60)+SUMIF(B:B,B349,D:D),60),"00")&amp;" min"))</f>
        <v/>
      </c>
    </row>
    <row r="350" ht="17.18">
      <c r="A350" s="60" t="str">
        <f>IF(ISBLANK(B350),"",_xlfn.ISOWEEKNUM('Journal de travail'!$B350))</f>
        <v/>
      </c>
      <c r="B350" s="28"/>
      <c r="C350" s="29"/>
      <c r="D350" s="30"/>
      <c r="E350" s="31"/>
      <c r="F350" s="37"/>
      <c r="G350" s="37"/>
      <c r="H350" t="str">
        <f>IF(OR(ISBLANK(B350),B350=""),"",IF(B350=B349,"",INT(((SUMIF(B:B,B350,C:C)*60)+SUMIF(B:B,B350,D:D))/60)&amp;" h "&amp;TEXT(MOD((SUMIF(B:B,B350,C:C)*60)+SUMIF(B:B,B350,D:D),60),"00")&amp;" min"))</f>
        <v/>
      </c>
    </row>
    <row r="351" ht="17.18">
      <c r="A351" s="61" t="str">
        <f>IF(ISBLANK(B351),"",_xlfn.ISOWEEKNUM('Journal de travail'!$B351))</f>
        <v/>
      </c>
      <c r="B351" s="32"/>
      <c r="C351" s="33"/>
      <c r="D351" s="34"/>
      <c r="E351" s="35"/>
      <c r="F351" s="38"/>
      <c r="G351" s="38"/>
      <c r="H351" t="str">
        <f>IF(OR(ISBLANK(B351),B351=""),"",IF(B351=B350,"",INT(((SUMIF(B:B,B351,C:C)*60)+SUMIF(B:B,B351,D:D))/60)&amp;" h "&amp;TEXT(MOD((SUMIF(B:B,B351,C:C)*60)+SUMIF(B:B,B351,D:D),60),"00")&amp;" min"))</f>
        <v/>
      </c>
    </row>
    <row r="352" ht="17.18">
      <c r="A352" s="60" t="str">
        <f>IF(ISBLANK(B352),"",_xlfn.ISOWEEKNUM('Journal de travail'!$B352))</f>
        <v/>
      </c>
      <c r="B352" s="28"/>
      <c r="C352" s="29"/>
      <c r="D352" s="30"/>
      <c r="E352" s="31"/>
      <c r="F352" s="37"/>
      <c r="G352" s="37"/>
      <c r="H352" t="str">
        <f>IF(OR(ISBLANK(B352),B352=""),"",IF(B352=B351,"",INT(((SUMIF(B:B,B352,C:C)*60)+SUMIF(B:B,B352,D:D))/60)&amp;" h "&amp;TEXT(MOD((SUMIF(B:B,B352,C:C)*60)+SUMIF(B:B,B352,D:D),60),"00")&amp;" min"))</f>
        <v/>
      </c>
    </row>
    <row r="353" ht="17.18">
      <c r="A353" s="61" t="str">
        <f>IF(ISBLANK(B353),"",_xlfn.ISOWEEKNUM('Journal de travail'!$B353))</f>
        <v/>
      </c>
      <c r="B353" s="32"/>
      <c r="C353" s="33"/>
      <c r="D353" s="34"/>
      <c r="E353" s="35"/>
      <c r="F353" s="38"/>
      <c r="G353" s="38"/>
      <c r="H353" t="str">
        <f>IF(OR(ISBLANK(B353),B353=""),"",IF(B353=B352,"",INT(((SUMIF(B:B,B353,C:C)*60)+SUMIF(B:B,B353,D:D))/60)&amp;" h "&amp;TEXT(MOD((SUMIF(B:B,B353,C:C)*60)+SUMIF(B:B,B353,D:D),60),"00")&amp;" min"))</f>
        <v/>
      </c>
    </row>
    <row r="354" ht="17.18">
      <c r="A354" s="60" t="str">
        <f>IF(ISBLANK(B354),"",_xlfn.ISOWEEKNUM('Journal de travail'!$B354))</f>
        <v/>
      </c>
      <c r="B354" s="28"/>
      <c r="C354" s="29"/>
      <c r="D354" s="30"/>
      <c r="E354" s="31"/>
      <c r="F354" s="37"/>
      <c r="G354" s="37"/>
      <c r="H354" t="str">
        <f>IF(OR(ISBLANK(B354),B354=""),"",IF(B354=B353,"",INT(((SUMIF(B:B,B354,C:C)*60)+SUMIF(B:B,B354,D:D))/60)&amp;" h "&amp;TEXT(MOD((SUMIF(B:B,B354,C:C)*60)+SUMIF(B:B,B354,D:D),60),"00")&amp;" min"))</f>
        <v/>
      </c>
    </row>
    <row r="355" ht="17.18">
      <c r="A355" s="61" t="str">
        <f>IF(ISBLANK(B355),"",_xlfn.ISOWEEKNUM('Journal de travail'!$B355))</f>
        <v/>
      </c>
      <c r="B355" s="32"/>
      <c r="C355" s="33"/>
      <c r="D355" s="34"/>
      <c r="E355" s="35"/>
      <c r="F355" s="38"/>
      <c r="G355" s="38"/>
      <c r="H355" t="str">
        <f>IF(OR(ISBLANK(B355),B355=""),"",IF(B355=B354,"",INT(((SUMIF(B:B,B355,C:C)*60)+SUMIF(B:B,B355,D:D))/60)&amp;" h "&amp;TEXT(MOD((SUMIF(B:B,B355,C:C)*60)+SUMIF(B:B,B355,D:D),60),"00")&amp;" min"))</f>
        <v/>
      </c>
    </row>
    <row r="356" ht="17.18">
      <c r="A356" s="60" t="str">
        <f>IF(ISBLANK(B356),"",_xlfn.ISOWEEKNUM('Journal de travail'!$B356))</f>
        <v/>
      </c>
      <c r="B356" s="28"/>
      <c r="C356" s="29"/>
      <c r="D356" s="30"/>
      <c r="E356" s="31"/>
      <c r="F356" s="37"/>
      <c r="G356" s="37"/>
      <c r="H356" t="str">
        <f>IF(OR(ISBLANK(B356),B356=""),"",IF(B356=B355,"",INT(((SUMIF(B:B,B356,C:C)*60)+SUMIF(B:B,B356,D:D))/60)&amp;" h "&amp;TEXT(MOD((SUMIF(B:B,B356,C:C)*60)+SUMIF(B:B,B356,D:D),60),"00")&amp;" min"))</f>
        <v/>
      </c>
    </row>
    <row r="357" ht="17.18">
      <c r="A357" s="61" t="str">
        <f>IF(ISBLANK(B357),"",_xlfn.ISOWEEKNUM('Journal de travail'!$B357))</f>
        <v/>
      </c>
      <c r="B357" s="32"/>
      <c r="C357" s="33"/>
      <c r="D357" s="34"/>
      <c r="E357" s="35"/>
      <c r="F357" s="38"/>
      <c r="G357" s="38"/>
      <c r="H357" t="str">
        <f>IF(OR(ISBLANK(B357),B357=""),"",IF(B357=B356,"",INT(((SUMIF(B:B,B357,C:C)*60)+SUMIF(B:B,B357,D:D))/60)&amp;" h "&amp;TEXT(MOD((SUMIF(B:B,B357,C:C)*60)+SUMIF(B:B,B357,D:D),60),"00")&amp;" min"))</f>
        <v/>
      </c>
    </row>
    <row r="358" ht="17.18">
      <c r="A358" s="60" t="str">
        <f>IF(ISBLANK(B358),"",_xlfn.ISOWEEKNUM('Journal de travail'!$B358))</f>
        <v/>
      </c>
      <c r="B358" s="28"/>
      <c r="C358" s="29"/>
      <c r="D358" s="30"/>
      <c r="E358" s="31"/>
      <c r="F358" s="37"/>
      <c r="G358" s="37"/>
      <c r="H358" t="str">
        <f>IF(OR(ISBLANK(B358),B358=""),"",IF(B358=B357,"",INT(((SUMIF(B:B,B358,C:C)*60)+SUMIF(B:B,B358,D:D))/60)&amp;" h "&amp;TEXT(MOD((SUMIF(B:B,B358,C:C)*60)+SUMIF(B:B,B358,D:D),60),"00")&amp;" min"))</f>
        <v/>
      </c>
    </row>
    <row r="359" ht="17.18">
      <c r="A359" s="61" t="str">
        <f>IF(ISBLANK(B359),"",_xlfn.ISOWEEKNUM('Journal de travail'!$B359))</f>
        <v/>
      </c>
      <c r="B359" s="32"/>
      <c r="C359" s="33"/>
      <c r="D359" s="34"/>
      <c r="E359" s="35"/>
      <c r="F359" s="38"/>
      <c r="G359" s="38"/>
      <c r="H359" t="str">
        <f>IF(OR(ISBLANK(B359),B359=""),"",IF(B359=B358,"",INT(((SUMIF(B:B,B359,C:C)*60)+SUMIF(B:B,B359,D:D))/60)&amp;" h "&amp;TEXT(MOD((SUMIF(B:B,B359,C:C)*60)+SUMIF(B:B,B359,D:D),60),"00")&amp;" min"))</f>
        <v/>
      </c>
    </row>
    <row r="360" ht="17.18">
      <c r="A360" s="60" t="str">
        <f>IF(ISBLANK(B360),"",_xlfn.ISOWEEKNUM('Journal de travail'!$B360))</f>
        <v/>
      </c>
      <c r="B360" s="28"/>
      <c r="C360" s="29"/>
      <c r="D360" s="30"/>
      <c r="E360" s="31"/>
      <c r="F360" s="37"/>
      <c r="G360" s="37"/>
      <c r="H360" t="str">
        <f>IF(OR(ISBLANK(B360),B360=""),"",IF(B360=B359,"",INT(((SUMIF(B:B,B360,C:C)*60)+SUMIF(B:B,B360,D:D))/60)&amp;" h "&amp;TEXT(MOD((SUMIF(B:B,B360,C:C)*60)+SUMIF(B:B,B360,D:D),60),"00")&amp;" min"))</f>
        <v/>
      </c>
    </row>
    <row r="361" ht="17.18">
      <c r="A361" s="61" t="str">
        <f>IF(ISBLANK(B361),"",_xlfn.ISOWEEKNUM('Journal de travail'!$B361))</f>
        <v/>
      </c>
      <c r="B361" s="32"/>
      <c r="C361" s="33"/>
      <c r="D361" s="34"/>
      <c r="E361" s="35"/>
      <c r="F361" s="38"/>
      <c r="G361" s="38"/>
      <c r="H361" t="str">
        <f>IF(OR(ISBLANK(B361),B361=""),"",IF(B361=B360,"",INT(((SUMIF(B:B,B361,C:C)*60)+SUMIF(B:B,B361,D:D))/60)&amp;" h "&amp;TEXT(MOD((SUMIF(B:B,B361,C:C)*60)+SUMIF(B:B,B361,D:D),60),"00")&amp;" min"))</f>
        <v/>
      </c>
    </row>
    <row r="362" ht="17.18">
      <c r="A362" s="60" t="str">
        <f>IF(ISBLANK(B362),"",_xlfn.ISOWEEKNUM('Journal de travail'!$B362))</f>
        <v/>
      </c>
      <c r="B362" s="28"/>
      <c r="C362" s="29"/>
      <c r="D362" s="30"/>
      <c r="E362" s="31"/>
      <c r="F362" s="37"/>
      <c r="G362" s="37"/>
      <c r="H362" t="str">
        <f>IF(OR(ISBLANK(B362),B362=""),"",IF(B362=B361,"",INT(((SUMIF(B:B,B362,C:C)*60)+SUMIF(B:B,B362,D:D))/60)&amp;" h "&amp;TEXT(MOD((SUMIF(B:B,B362,C:C)*60)+SUMIF(B:B,B362,D:D),60),"00")&amp;" min"))</f>
        <v/>
      </c>
    </row>
    <row r="363" ht="17.18">
      <c r="A363" s="61" t="str">
        <f>IF(ISBLANK(B363),"",_xlfn.ISOWEEKNUM('Journal de travail'!$B363))</f>
        <v/>
      </c>
      <c r="B363" s="32"/>
      <c r="C363" s="33"/>
      <c r="D363" s="34"/>
      <c r="E363" s="35"/>
      <c r="F363" s="38"/>
      <c r="G363" s="38"/>
      <c r="H363" t="str">
        <f>IF(OR(ISBLANK(B363),B363=""),"",IF(B363=B362,"",INT(((SUMIF(B:B,B363,C:C)*60)+SUMIF(B:B,B363,D:D))/60)&amp;" h "&amp;TEXT(MOD((SUMIF(B:B,B363,C:C)*60)+SUMIF(B:B,B363,D:D),60),"00")&amp;" min"))</f>
        <v/>
      </c>
    </row>
    <row r="364" ht="17.18">
      <c r="A364" s="60" t="str">
        <f>IF(ISBLANK(B364),"",_xlfn.ISOWEEKNUM('Journal de travail'!$B364))</f>
        <v/>
      </c>
      <c r="B364" s="28"/>
      <c r="C364" s="29"/>
      <c r="D364" s="30"/>
      <c r="E364" s="31"/>
      <c r="F364" s="37"/>
      <c r="G364" s="37"/>
      <c r="H364" t="str">
        <f>IF(OR(ISBLANK(B364),B364=""),"",IF(B364=B363,"",INT(((SUMIF(B:B,B364,C:C)*60)+SUMIF(B:B,B364,D:D))/60)&amp;" h "&amp;TEXT(MOD((SUMIF(B:B,B364,C:C)*60)+SUMIF(B:B,B364,D:D),60),"00")&amp;" min"))</f>
        <v/>
      </c>
    </row>
    <row r="365" ht="17.18">
      <c r="A365" s="61" t="str">
        <f>IF(ISBLANK(B365),"",_xlfn.ISOWEEKNUM('Journal de travail'!$B365))</f>
        <v/>
      </c>
      <c r="B365" s="32"/>
      <c r="C365" s="33"/>
      <c r="D365" s="34"/>
      <c r="E365" s="35"/>
      <c r="F365" s="38"/>
      <c r="G365" s="38"/>
      <c r="H365" t="str">
        <f>IF(OR(ISBLANK(B365),B365=""),"",IF(B365=B364,"",INT(((SUMIF(B:B,B365,C:C)*60)+SUMIF(B:B,B365,D:D))/60)&amp;" h "&amp;TEXT(MOD((SUMIF(B:B,B365,C:C)*60)+SUMIF(B:B,B365,D:D),60),"00")&amp;" min"))</f>
        <v/>
      </c>
    </row>
    <row r="366" ht="17.18">
      <c r="A366" s="60" t="str">
        <f>IF(ISBLANK(B366),"",_xlfn.ISOWEEKNUM('Journal de travail'!$B366))</f>
        <v/>
      </c>
      <c r="B366" s="28"/>
      <c r="C366" s="29"/>
      <c r="D366" s="30"/>
      <c r="E366" s="31"/>
      <c r="F366" s="37"/>
      <c r="G366" s="37"/>
      <c r="H366" t="str">
        <f>IF(OR(ISBLANK(B366),B366=""),"",IF(B366=B365,"",INT(((SUMIF(B:B,B366,C:C)*60)+SUMIF(B:B,B366,D:D))/60)&amp;" h "&amp;TEXT(MOD((SUMIF(B:B,B366,C:C)*60)+SUMIF(B:B,B366,D:D),60),"00")&amp;" min"))</f>
        <v/>
      </c>
    </row>
    <row r="367" ht="17.18">
      <c r="A367" s="61" t="str">
        <f>IF(ISBLANK(B367),"",_xlfn.ISOWEEKNUM('Journal de travail'!$B367))</f>
        <v/>
      </c>
      <c r="B367" s="32"/>
      <c r="C367" s="33"/>
      <c r="D367" s="34"/>
      <c r="E367" s="35"/>
      <c r="F367" s="38"/>
      <c r="G367" s="38"/>
      <c r="H367" t="str">
        <f>IF(OR(ISBLANK(B367),B367=""),"",IF(B367=B366,"",INT(((SUMIF(B:B,B367,C:C)*60)+SUMIF(B:B,B367,D:D))/60)&amp;" h "&amp;TEXT(MOD((SUMIF(B:B,B367,C:C)*60)+SUMIF(B:B,B367,D:D),60),"00")&amp;" min"))</f>
        <v/>
      </c>
    </row>
    <row r="368" ht="17.18">
      <c r="A368" s="60" t="str">
        <f>IF(ISBLANK(B368),"",_xlfn.ISOWEEKNUM('Journal de travail'!$B368))</f>
        <v/>
      </c>
      <c r="B368" s="28"/>
      <c r="C368" s="29"/>
      <c r="D368" s="30"/>
      <c r="E368" s="31"/>
      <c r="F368" s="37"/>
      <c r="G368" s="37"/>
      <c r="H368" t="str">
        <f>IF(OR(ISBLANK(B368),B368=""),"",IF(B368=B367,"",INT(((SUMIF(B:B,B368,C:C)*60)+SUMIF(B:B,B368,D:D))/60)&amp;" h "&amp;TEXT(MOD((SUMIF(B:B,B368,C:C)*60)+SUMIF(B:B,B368,D:D),60),"00")&amp;" min"))</f>
        <v/>
      </c>
    </row>
    <row r="369" ht="17.18">
      <c r="A369" s="61" t="str">
        <f>IF(ISBLANK(B369),"",_xlfn.ISOWEEKNUM('Journal de travail'!$B369))</f>
        <v/>
      </c>
      <c r="B369" s="32"/>
      <c r="C369" s="33"/>
      <c r="D369" s="34"/>
      <c r="E369" s="35"/>
      <c r="F369" s="38"/>
      <c r="G369" s="38"/>
      <c r="H369" t="str">
        <f>IF(OR(ISBLANK(B369),B369=""),"",IF(B369=B368,"",INT(((SUMIF(B:B,B369,C:C)*60)+SUMIF(B:B,B369,D:D))/60)&amp;" h "&amp;TEXT(MOD((SUMIF(B:B,B369,C:C)*60)+SUMIF(B:B,B369,D:D),60),"00")&amp;" min"))</f>
        <v/>
      </c>
    </row>
    <row r="370" ht="17.18">
      <c r="A370" s="60" t="str">
        <f>IF(ISBLANK(B370),"",_xlfn.ISOWEEKNUM('Journal de travail'!$B370))</f>
        <v/>
      </c>
      <c r="B370" s="28"/>
      <c r="C370" s="29"/>
      <c r="D370" s="30"/>
      <c r="E370" s="31"/>
      <c r="F370" s="37"/>
      <c r="G370" s="37"/>
      <c r="H370" t="str">
        <f>IF(OR(ISBLANK(B370),B370=""),"",IF(B370=B369,"",INT(((SUMIF(B:B,B370,C:C)*60)+SUMIF(B:B,B370,D:D))/60)&amp;" h "&amp;TEXT(MOD((SUMIF(B:B,B370,C:C)*60)+SUMIF(B:B,B370,D:D),60),"00")&amp;" min"))</f>
        <v/>
      </c>
    </row>
    <row r="371" ht="17.18">
      <c r="A371" s="61" t="str">
        <f>IF(ISBLANK(B371),"",_xlfn.ISOWEEKNUM('Journal de travail'!$B371))</f>
        <v/>
      </c>
      <c r="B371" s="32"/>
      <c r="C371" s="33"/>
      <c r="D371" s="34"/>
      <c r="E371" s="35"/>
      <c r="F371" s="38"/>
      <c r="G371" s="38"/>
      <c r="H371" t="str">
        <f>IF(OR(ISBLANK(B371),B371=""),"",IF(B371=B370,"",INT(((SUMIF(B:B,B371,C:C)*60)+SUMIF(B:B,B371,D:D))/60)&amp;" h "&amp;TEXT(MOD((SUMIF(B:B,B371,C:C)*60)+SUMIF(B:B,B371,D:D),60),"00")&amp;" min"))</f>
        <v/>
      </c>
    </row>
    <row r="372" ht="17.18">
      <c r="A372" s="60" t="str">
        <f>IF(ISBLANK(B372),"",_xlfn.ISOWEEKNUM('Journal de travail'!$B372))</f>
        <v/>
      </c>
      <c r="B372" s="28"/>
      <c r="C372" s="29"/>
      <c r="D372" s="30"/>
      <c r="E372" s="31"/>
      <c r="F372" s="37"/>
      <c r="G372" s="37"/>
      <c r="H372" t="str">
        <f>IF(OR(ISBLANK(B372),B372=""),"",IF(B372=B371,"",INT(((SUMIF(B:B,B372,C:C)*60)+SUMIF(B:B,B372,D:D))/60)&amp;" h "&amp;TEXT(MOD((SUMIF(B:B,B372,C:C)*60)+SUMIF(B:B,B372,D:D),60),"00")&amp;" min"))</f>
        <v/>
      </c>
    </row>
    <row r="373" ht="17.18">
      <c r="A373" s="61" t="str">
        <f>IF(ISBLANK(B373),"",_xlfn.ISOWEEKNUM('Journal de travail'!$B373))</f>
        <v/>
      </c>
      <c r="B373" s="32"/>
      <c r="C373" s="33"/>
      <c r="D373" s="34"/>
      <c r="E373" s="35"/>
      <c r="F373" s="38"/>
      <c r="G373" s="38"/>
      <c r="H373" t="str">
        <f>IF(OR(ISBLANK(B373),B373=""),"",IF(B373=B372,"",INT(((SUMIF(B:B,B373,C:C)*60)+SUMIF(B:B,B373,D:D))/60)&amp;" h "&amp;TEXT(MOD((SUMIF(B:B,B373,C:C)*60)+SUMIF(B:B,B373,D:D),60),"00")&amp;" min"))</f>
        <v/>
      </c>
    </row>
    <row r="374" ht="17.18">
      <c r="A374" s="60" t="str">
        <f>IF(ISBLANK(B374),"",_xlfn.ISOWEEKNUM('Journal de travail'!$B374))</f>
        <v/>
      </c>
      <c r="B374" s="28"/>
      <c r="C374" s="29"/>
      <c r="D374" s="30"/>
      <c r="E374" s="31"/>
      <c r="F374" s="37"/>
      <c r="G374" s="37"/>
      <c r="H374" t="str">
        <f>IF(OR(ISBLANK(B374),B374=""),"",IF(B374=B373,"",INT(((SUMIF(B:B,B374,C:C)*60)+SUMIF(B:B,B374,D:D))/60)&amp;" h "&amp;TEXT(MOD((SUMIF(B:B,B374,C:C)*60)+SUMIF(B:B,B374,D:D),60),"00")&amp;" min"))</f>
        <v/>
      </c>
    </row>
    <row r="375" ht="17.18">
      <c r="A375" s="61" t="str">
        <f>IF(ISBLANK(B375),"",_xlfn.ISOWEEKNUM('Journal de travail'!$B375))</f>
        <v/>
      </c>
      <c r="B375" s="32"/>
      <c r="C375" s="33"/>
      <c r="D375" s="34"/>
      <c r="E375" s="35"/>
      <c r="F375" s="38"/>
      <c r="G375" s="38"/>
      <c r="H375" t="str">
        <f>IF(OR(ISBLANK(B375),B375=""),"",IF(B375=B374,"",INT(((SUMIF(B:B,B375,C:C)*60)+SUMIF(B:B,B375,D:D))/60)&amp;" h "&amp;TEXT(MOD((SUMIF(B:B,B375,C:C)*60)+SUMIF(B:B,B375,D:D),60),"00")&amp;" min"))</f>
        <v/>
      </c>
    </row>
    <row r="376" ht="17.18">
      <c r="A376" s="60" t="str">
        <f>IF(ISBLANK(B376),"",_xlfn.ISOWEEKNUM('Journal de travail'!$B376))</f>
        <v/>
      </c>
      <c r="B376" s="28"/>
      <c r="C376" s="29"/>
      <c r="D376" s="30"/>
      <c r="E376" s="31"/>
      <c r="F376" s="37"/>
      <c r="G376" s="37"/>
      <c r="H376" t="str">
        <f>IF(OR(ISBLANK(B376),B376=""),"",IF(B376=B375,"",INT(((SUMIF(B:B,B376,C:C)*60)+SUMIF(B:B,B376,D:D))/60)&amp;" h "&amp;TEXT(MOD((SUMIF(B:B,B376,C:C)*60)+SUMIF(B:B,B376,D:D),60),"00")&amp;" min"))</f>
        <v/>
      </c>
    </row>
    <row r="377" ht="17.18">
      <c r="A377" s="61" t="str">
        <f>IF(ISBLANK(B377),"",_xlfn.ISOWEEKNUM('Journal de travail'!$B377))</f>
        <v/>
      </c>
      <c r="B377" s="32"/>
      <c r="C377" s="33"/>
      <c r="D377" s="34"/>
      <c r="E377" s="35"/>
      <c r="F377" s="38"/>
      <c r="G377" s="38"/>
      <c r="H377" t="str">
        <f>IF(OR(ISBLANK(B377),B377=""),"",IF(B377=B376,"",INT(((SUMIF(B:B,B377,C:C)*60)+SUMIF(B:B,B377,D:D))/60)&amp;" h "&amp;TEXT(MOD((SUMIF(B:B,B377,C:C)*60)+SUMIF(B:B,B377,D:D),60),"00")&amp;" min"))</f>
        <v/>
      </c>
    </row>
    <row r="378" ht="17.18">
      <c r="A378" s="60" t="str">
        <f>IF(ISBLANK(B378),"",_xlfn.ISOWEEKNUM('Journal de travail'!$B378))</f>
        <v/>
      </c>
      <c r="B378" s="28"/>
      <c r="C378" s="29"/>
      <c r="D378" s="30"/>
      <c r="E378" s="31"/>
      <c r="F378" s="37"/>
      <c r="G378" s="37"/>
      <c r="H378" t="str">
        <f>IF(OR(ISBLANK(B378),B378=""),"",IF(B378=B377,"",INT(((SUMIF(B:B,B378,C:C)*60)+SUMIF(B:B,B378,D:D))/60)&amp;" h "&amp;TEXT(MOD((SUMIF(B:B,B378,C:C)*60)+SUMIF(B:B,B378,D:D),60),"00")&amp;" min"))</f>
        <v/>
      </c>
    </row>
    <row r="379" ht="17.18">
      <c r="A379" s="61" t="str">
        <f>IF(ISBLANK(B379),"",_xlfn.ISOWEEKNUM('Journal de travail'!$B379))</f>
        <v/>
      </c>
      <c r="B379" s="32"/>
      <c r="C379" s="33"/>
      <c r="D379" s="34"/>
      <c r="E379" s="35"/>
      <c r="F379" s="38"/>
      <c r="G379" s="38"/>
      <c r="H379" t="str">
        <f>IF(OR(ISBLANK(B379),B379=""),"",IF(B379=B378,"",INT(((SUMIF(B:B,B379,C:C)*60)+SUMIF(B:B,B379,D:D))/60)&amp;" h "&amp;TEXT(MOD((SUMIF(B:B,B379,C:C)*60)+SUMIF(B:B,B379,D:D),60),"00")&amp;" min"))</f>
        <v/>
      </c>
    </row>
    <row r="380" ht="17.18">
      <c r="A380" s="60" t="str">
        <f>IF(ISBLANK(B380),"",_xlfn.ISOWEEKNUM('Journal de travail'!$B380))</f>
        <v/>
      </c>
      <c r="B380" s="28"/>
      <c r="C380" s="29"/>
      <c r="D380" s="30"/>
      <c r="E380" s="31"/>
      <c r="F380" s="37"/>
      <c r="G380" s="37"/>
      <c r="H380" t="str">
        <f>IF(OR(ISBLANK(B380),B380=""),"",IF(B380=B379,"",INT(((SUMIF(B:B,B380,C:C)*60)+SUMIF(B:B,B380,D:D))/60)&amp;" h "&amp;TEXT(MOD((SUMIF(B:B,B380,C:C)*60)+SUMIF(B:B,B380,D:D),60),"00")&amp;" min"))</f>
        <v/>
      </c>
    </row>
    <row r="381" ht="17.18">
      <c r="A381" s="61" t="str">
        <f>IF(ISBLANK(B381),"",_xlfn.ISOWEEKNUM('Journal de travail'!$B381))</f>
        <v/>
      </c>
      <c r="B381" s="32"/>
      <c r="C381" s="33"/>
      <c r="D381" s="34"/>
      <c r="E381" s="35"/>
      <c r="F381" s="38"/>
      <c r="G381" s="38"/>
      <c r="H381" t="str">
        <f>IF(OR(ISBLANK(B381),B381=""),"",IF(B381=B380,"",INT(((SUMIF(B:B,B381,C:C)*60)+SUMIF(B:B,B381,D:D))/60)&amp;" h "&amp;TEXT(MOD((SUMIF(B:B,B381,C:C)*60)+SUMIF(B:B,B381,D:D),60),"00")&amp;" min"))</f>
        <v/>
      </c>
    </row>
    <row r="382" ht="17.18">
      <c r="A382" s="60" t="str">
        <f>IF(ISBLANK(B382),"",_xlfn.ISOWEEKNUM('Journal de travail'!$B382))</f>
        <v/>
      </c>
      <c r="B382" s="28"/>
      <c r="C382" s="29"/>
      <c r="D382" s="30"/>
      <c r="E382" s="31"/>
      <c r="F382" s="37"/>
      <c r="G382" s="37"/>
      <c r="H382" t="str">
        <f>IF(OR(ISBLANK(B382),B382=""),"",IF(B382=B381,"",INT(((SUMIF(B:B,B382,C:C)*60)+SUMIF(B:B,B382,D:D))/60)&amp;" h "&amp;TEXT(MOD((SUMIF(B:B,B382,C:C)*60)+SUMIF(B:B,B382,D:D),60),"00")&amp;" min"))</f>
        <v/>
      </c>
    </row>
    <row r="383" ht="17.18">
      <c r="A383" s="61" t="str">
        <f>IF(ISBLANK(B383),"",_xlfn.ISOWEEKNUM('Journal de travail'!$B383))</f>
        <v/>
      </c>
      <c r="B383" s="32"/>
      <c r="C383" s="33"/>
      <c r="D383" s="34"/>
      <c r="E383" s="35"/>
      <c r="F383" s="38"/>
      <c r="G383" s="38"/>
      <c r="H383" t="str">
        <f>IF(OR(ISBLANK(B383),B383=""),"",IF(B383=B382,"",INT(((SUMIF(B:B,B383,C:C)*60)+SUMIF(B:B,B383,D:D))/60)&amp;" h "&amp;TEXT(MOD((SUMIF(B:B,B383,C:C)*60)+SUMIF(B:B,B383,D:D),60),"00")&amp;" min"))</f>
        <v/>
      </c>
    </row>
    <row r="384" ht="17.18">
      <c r="A384" s="60" t="str">
        <f>IF(ISBLANK(B384),"",_xlfn.ISOWEEKNUM('Journal de travail'!$B384))</f>
        <v/>
      </c>
      <c r="B384" s="28"/>
      <c r="C384" s="29"/>
      <c r="D384" s="30"/>
      <c r="E384" s="31"/>
      <c r="F384" s="37"/>
      <c r="G384" s="37"/>
      <c r="H384" t="str">
        <f>IF(OR(ISBLANK(B384),B384=""),"",IF(B384=B383,"",INT(((SUMIF(B:B,B384,C:C)*60)+SUMIF(B:B,B384,D:D))/60)&amp;" h "&amp;TEXT(MOD((SUMIF(B:B,B384,C:C)*60)+SUMIF(B:B,B384,D:D),60),"00")&amp;" min"))</f>
        <v/>
      </c>
    </row>
    <row r="385" ht="17.18">
      <c r="A385" s="61" t="str">
        <f>IF(ISBLANK(B385),"",_xlfn.ISOWEEKNUM('Journal de travail'!$B385))</f>
        <v/>
      </c>
      <c r="B385" s="32"/>
      <c r="C385" s="33"/>
      <c r="D385" s="34"/>
      <c r="E385" s="35"/>
      <c r="F385" s="38"/>
      <c r="G385" s="38"/>
      <c r="H385" t="str">
        <f>IF(OR(ISBLANK(B385),B385=""),"",IF(B385=B384,"",INT(((SUMIF(B:B,B385,C:C)*60)+SUMIF(B:B,B385,D:D))/60)&amp;" h "&amp;TEXT(MOD((SUMIF(B:B,B385,C:C)*60)+SUMIF(B:B,B385,D:D),60),"00")&amp;" min"))</f>
        <v/>
      </c>
    </row>
    <row r="386" ht="17.18">
      <c r="A386" s="60" t="str">
        <f>IF(ISBLANK(B386),"",_xlfn.ISOWEEKNUM('Journal de travail'!$B386))</f>
        <v/>
      </c>
      <c r="B386" s="28"/>
      <c r="C386" s="29"/>
      <c r="D386" s="30"/>
      <c r="E386" s="31"/>
      <c r="F386" s="37"/>
      <c r="G386" s="37"/>
      <c r="H386" t="str">
        <f>IF(OR(ISBLANK(B386),B386=""),"",IF(B386=B385,"",INT(((SUMIF(B:B,B386,C:C)*60)+SUMIF(B:B,B386,D:D))/60)&amp;" h "&amp;TEXT(MOD((SUMIF(B:B,B386,C:C)*60)+SUMIF(B:B,B386,D:D),60),"00")&amp;" min"))</f>
        <v/>
      </c>
    </row>
    <row r="387" ht="17.18">
      <c r="A387" s="61" t="str">
        <f>IF(ISBLANK(B387),"",_xlfn.ISOWEEKNUM('Journal de travail'!$B387))</f>
        <v/>
      </c>
      <c r="B387" s="32"/>
      <c r="C387" s="33"/>
      <c r="D387" s="34"/>
      <c r="E387" s="35"/>
      <c r="F387" s="38"/>
      <c r="G387" s="38"/>
      <c r="H387" t="str">
        <f>IF(OR(ISBLANK(B387),B387=""),"",IF(B387=B386,"",INT(((SUMIF(B:B,B387,C:C)*60)+SUMIF(B:B,B387,D:D))/60)&amp;" h "&amp;TEXT(MOD((SUMIF(B:B,B387,C:C)*60)+SUMIF(B:B,B387,D:D),60),"00")&amp;" min"))</f>
        <v/>
      </c>
    </row>
    <row r="388" ht="17.18">
      <c r="A388" s="60" t="str">
        <f>IF(ISBLANK(B388),"",_xlfn.ISOWEEKNUM('Journal de travail'!$B388))</f>
        <v/>
      </c>
      <c r="B388" s="28"/>
      <c r="C388" s="29"/>
      <c r="D388" s="30"/>
      <c r="E388" s="31"/>
      <c r="F388" s="37"/>
      <c r="G388" s="37"/>
      <c r="H388" t="str">
        <f>IF(OR(ISBLANK(B388),B388=""),"",IF(B388=B387,"",INT(((SUMIF(B:B,B388,C:C)*60)+SUMIF(B:B,B388,D:D))/60)&amp;" h "&amp;TEXT(MOD((SUMIF(B:B,B388,C:C)*60)+SUMIF(B:B,B388,D:D),60),"00")&amp;" min"))</f>
        <v/>
      </c>
    </row>
    <row r="389" ht="17.18">
      <c r="A389" s="61" t="str">
        <f>IF(ISBLANK(B389),"",_xlfn.ISOWEEKNUM('Journal de travail'!$B389))</f>
        <v/>
      </c>
      <c r="B389" s="32"/>
      <c r="C389" s="33"/>
      <c r="D389" s="34"/>
      <c r="E389" s="35"/>
      <c r="F389" s="38"/>
      <c r="G389" s="38"/>
      <c r="H389" t="str">
        <f>IF(OR(ISBLANK(B389),B389=""),"",IF(B389=B388,"",INT(((SUMIF(B:B,B389,C:C)*60)+SUMIF(B:B,B389,D:D))/60)&amp;" h "&amp;TEXT(MOD((SUMIF(B:B,B389,C:C)*60)+SUMIF(B:B,B389,D:D),60),"00")&amp;" min"))</f>
        <v/>
      </c>
    </row>
    <row r="390" ht="17.18">
      <c r="A390" s="60" t="str">
        <f>IF(ISBLANK(B390),"",_xlfn.ISOWEEKNUM('Journal de travail'!$B390))</f>
        <v/>
      </c>
      <c r="B390" s="28"/>
      <c r="C390" s="29"/>
      <c r="D390" s="30"/>
      <c r="E390" s="31"/>
      <c r="F390" s="37"/>
      <c r="G390" s="37"/>
      <c r="H390" t="str">
        <f>IF(OR(ISBLANK(B390),B390=""),"",IF(B390=B389,"",INT(((SUMIF(B:B,B390,C:C)*60)+SUMIF(B:B,B390,D:D))/60)&amp;" h "&amp;TEXT(MOD((SUMIF(B:B,B390,C:C)*60)+SUMIF(B:B,B390,D:D),60),"00")&amp;" min"))</f>
        <v/>
      </c>
    </row>
    <row r="391" ht="17.18">
      <c r="A391" s="61" t="str">
        <f>IF(ISBLANK(B391),"",_xlfn.ISOWEEKNUM('Journal de travail'!$B391))</f>
        <v/>
      </c>
      <c r="B391" s="32"/>
      <c r="C391" s="33"/>
      <c r="D391" s="34"/>
      <c r="E391" s="35"/>
      <c r="F391" s="38"/>
      <c r="G391" s="38"/>
      <c r="H391" t="str">
        <f>IF(OR(ISBLANK(B391),B391=""),"",IF(B391=B390,"",INT(((SUMIF(B:B,B391,C:C)*60)+SUMIF(B:B,B391,D:D))/60)&amp;" h "&amp;TEXT(MOD((SUMIF(B:B,B391,C:C)*60)+SUMIF(B:B,B391,D:D),60),"00")&amp;" min"))</f>
        <v/>
      </c>
    </row>
    <row r="392" ht="17.18">
      <c r="A392" s="60" t="str">
        <f>IF(ISBLANK(B392),"",_xlfn.ISOWEEKNUM('Journal de travail'!$B392))</f>
        <v/>
      </c>
      <c r="B392" s="28"/>
      <c r="C392" s="29"/>
      <c r="D392" s="30"/>
      <c r="E392" s="31"/>
      <c r="F392" s="37"/>
      <c r="G392" s="37"/>
      <c r="H392" t="str">
        <f>IF(OR(ISBLANK(B392),B392=""),"",IF(B392=B391,"",INT(((SUMIF(B:B,B392,C:C)*60)+SUMIF(B:B,B392,D:D))/60)&amp;" h "&amp;TEXT(MOD((SUMIF(B:B,B392,C:C)*60)+SUMIF(B:B,B392,D:D),60),"00")&amp;" min"))</f>
        <v/>
      </c>
    </row>
    <row r="393" ht="17.18">
      <c r="A393" s="61" t="str">
        <f>IF(ISBLANK(B393),"",_xlfn.ISOWEEKNUM('Journal de travail'!$B393))</f>
        <v/>
      </c>
      <c r="B393" s="32"/>
      <c r="C393" s="33"/>
      <c r="D393" s="34"/>
      <c r="E393" s="35"/>
      <c r="F393" s="38"/>
      <c r="G393" s="38"/>
      <c r="H393" t="str">
        <f>IF(OR(ISBLANK(B393),B393=""),"",IF(B393=B392,"",INT(((SUMIF(B:B,B393,C:C)*60)+SUMIF(B:B,B393,D:D))/60)&amp;" h "&amp;TEXT(MOD((SUMIF(B:B,B393,C:C)*60)+SUMIF(B:B,B393,D:D),60),"00")&amp;" min"))</f>
        <v/>
      </c>
    </row>
    <row r="394" ht="17.18">
      <c r="A394" s="60" t="str">
        <f>IF(ISBLANK(B394),"",_xlfn.ISOWEEKNUM('Journal de travail'!$B394))</f>
        <v/>
      </c>
      <c r="B394" s="28"/>
      <c r="C394" s="29"/>
      <c r="D394" s="30"/>
      <c r="E394" s="31"/>
      <c r="F394" s="37"/>
      <c r="G394" s="37"/>
      <c r="H394" t="str">
        <f>IF(OR(ISBLANK(B394),B394=""),"",IF(B394=B393,"",INT(((SUMIF(B:B,B394,C:C)*60)+SUMIF(B:B,B394,D:D))/60)&amp;" h "&amp;TEXT(MOD((SUMIF(B:B,B394,C:C)*60)+SUMIF(B:B,B394,D:D),60),"00")&amp;" min"))</f>
        <v/>
      </c>
    </row>
    <row r="395" ht="17.18">
      <c r="A395" s="61" t="str">
        <f>IF(ISBLANK(B395),"",_xlfn.ISOWEEKNUM('Journal de travail'!$B395))</f>
        <v/>
      </c>
      <c r="B395" s="32"/>
      <c r="C395" s="33"/>
      <c r="D395" s="34"/>
      <c r="E395" s="35"/>
      <c r="F395" s="38"/>
      <c r="G395" s="38"/>
      <c r="H395" t="str">
        <f>IF(OR(ISBLANK(B395),B395=""),"",IF(B395=B394,"",INT(((SUMIF(B:B,B395,C:C)*60)+SUMIF(B:B,B395,D:D))/60)&amp;" h "&amp;TEXT(MOD((SUMIF(B:B,B395,C:C)*60)+SUMIF(B:B,B395,D:D),60),"00")&amp;" min"))</f>
        <v/>
      </c>
    </row>
    <row r="396" ht="17.18">
      <c r="A396" s="60" t="str">
        <f>IF(ISBLANK(B396),"",_xlfn.ISOWEEKNUM('Journal de travail'!$B396))</f>
        <v/>
      </c>
      <c r="B396" s="28"/>
      <c r="C396" s="29"/>
      <c r="D396" s="30"/>
      <c r="E396" s="31"/>
      <c r="F396" s="37"/>
      <c r="G396" s="37"/>
      <c r="H396" t="str">
        <f>IF(OR(ISBLANK(B396),B396=""),"",IF(B396=B395,"",INT(((SUMIF(B:B,B396,C:C)*60)+SUMIF(B:B,B396,D:D))/60)&amp;" h "&amp;TEXT(MOD((SUMIF(B:B,B396,C:C)*60)+SUMIF(B:B,B396,D:D),60),"00")&amp;" min"))</f>
        <v/>
      </c>
    </row>
    <row r="397" ht="17.18">
      <c r="A397" s="61" t="str">
        <f>IF(ISBLANK(B397),"",_xlfn.ISOWEEKNUM('Journal de travail'!$B397))</f>
        <v/>
      </c>
      <c r="B397" s="32"/>
      <c r="C397" s="33"/>
      <c r="D397" s="34"/>
      <c r="E397" s="35"/>
      <c r="F397" s="38"/>
      <c r="G397" s="38"/>
      <c r="H397" t="str">
        <f>IF(OR(ISBLANK(B397),B397=""),"",IF(B397=B396,"",INT(((SUMIF(B:B,B397,C:C)*60)+SUMIF(B:B,B397,D:D))/60)&amp;" h "&amp;TEXT(MOD((SUMIF(B:B,B397,C:C)*60)+SUMIF(B:B,B397,D:D),60),"00")&amp;" min"))</f>
        <v/>
      </c>
    </row>
    <row r="398" ht="17.18">
      <c r="A398" s="60" t="str">
        <f>IF(ISBLANK(B398),"",_xlfn.ISOWEEKNUM('Journal de travail'!$B398))</f>
        <v/>
      </c>
      <c r="B398" s="28"/>
      <c r="C398" s="29"/>
      <c r="D398" s="30"/>
      <c r="E398" s="31"/>
      <c r="F398" s="37"/>
      <c r="G398" s="37"/>
      <c r="H398" t="str">
        <f>IF(OR(ISBLANK(B398),B398=""),"",IF(B398=B397,"",INT(((SUMIF(B:B,B398,C:C)*60)+SUMIF(B:B,B398,D:D))/60)&amp;" h "&amp;TEXT(MOD((SUMIF(B:B,B398,C:C)*60)+SUMIF(B:B,B398,D:D),60),"00")&amp;" min"))</f>
        <v/>
      </c>
    </row>
    <row r="399" ht="17.18">
      <c r="A399" s="61" t="str">
        <f>IF(ISBLANK(B399),"",_xlfn.ISOWEEKNUM('Journal de travail'!$B399))</f>
        <v/>
      </c>
      <c r="B399" s="32"/>
      <c r="C399" s="33"/>
      <c r="D399" s="34"/>
      <c r="E399" s="35"/>
      <c r="F399" s="38"/>
      <c r="G399" s="38"/>
      <c r="H399" t="str">
        <f>IF(OR(ISBLANK(B399),B399=""),"",IF(B399=B398,"",INT(((SUMIF(B:B,B399,C:C)*60)+SUMIF(B:B,B399,D:D))/60)&amp;" h "&amp;TEXT(MOD((SUMIF(B:B,B399,C:C)*60)+SUMIF(B:B,B399,D:D),60),"00")&amp;" min"))</f>
        <v/>
      </c>
    </row>
    <row r="400" ht="17.18">
      <c r="A400" s="60" t="str">
        <f>IF(ISBLANK(B400),"",_xlfn.ISOWEEKNUM('Journal de travail'!$B400))</f>
        <v/>
      </c>
      <c r="B400" s="28"/>
      <c r="C400" s="29"/>
      <c r="D400" s="30"/>
      <c r="E400" s="31"/>
      <c r="F400" s="37"/>
      <c r="G400" s="37"/>
      <c r="H400" t="str">
        <f>IF(OR(ISBLANK(B400),B400=""),"",IF(B400=B399,"",INT(((SUMIF(B:B,B400,C:C)*60)+SUMIF(B:B,B400,D:D))/60)&amp;" h "&amp;TEXT(MOD((SUMIF(B:B,B400,C:C)*60)+SUMIF(B:B,B400,D:D),60),"00")&amp;" min"))</f>
        <v/>
      </c>
    </row>
    <row r="401" ht="17.18">
      <c r="A401" s="61" t="str">
        <f>IF(ISBLANK(B401),"",_xlfn.ISOWEEKNUM('Journal de travail'!$B401))</f>
        <v/>
      </c>
      <c r="B401" s="32"/>
      <c r="C401" s="33"/>
      <c r="D401" s="34"/>
      <c r="E401" s="35"/>
      <c r="F401" s="38"/>
      <c r="G401" s="38"/>
      <c r="H401" t="str">
        <f>IF(OR(ISBLANK(B401),B401=""),"",IF(B401=B400,"",INT(((SUMIF(B:B,B401,C:C)*60)+SUMIF(B:B,B401,D:D))/60)&amp;" h "&amp;TEXT(MOD((SUMIF(B:B,B401,C:C)*60)+SUMIF(B:B,B401,D:D),60),"00")&amp;" min"))</f>
        <v/>
      </c>
    </row>
    <row r="402" ht="17.18">
      <c r="A402" s="60" t="str">
        <f>IF(ISBLANK(B402),"",_xlfn.ISOWEEKNUM('Journal de travail'!$B402))</f>
        <v/>
      </c>
      <c r="B402" s="28"/>
      <c r="C402" s="29"/>
      <c r="D402" s="30"/>
      <c r="E402" s="31"/>
      <c r="F402" s="37"/>
      <c r="G402" s="37"/>
      <c r="H402" t="str">
        <f>IF(OR(ISBLANK(B402),B402=""),"",IF(B402=B401,"",INT(((SUMIF(B:B,B402,C:C)*60)+SUMIF(B:B,B402,D:D))/60)&amp;" h "&amp;TEXT(MOD((SUMIF(B:B,B402,C:C)*60)+SUMIF(B:B,B402,D:D),60),"00")&amp;" min"))</f>
        <v/>
      </c>
    </row>
    <row r="403" ht="17.18">
      <c r="A403" s="61" t="str">
        <f>IF(ISBLANK(B403),"",_xlfn.ISOWEEKNUM('Journal de travail'!$B403))</f>
        <v/>
      </c>
      <c r="B403" s="32"/>
      <c r="C403" s="33"/>
      <c r="D403" s="34"/>
      <c r="E403" s="35"/>
      <c r="F403" s="38"/>
      <c r="G403" s="38"/>
      <c r="H403" t="str">
        <f>IF(OR(ISBLANK(B403),B403=""),"",IF(B403=B402,"",INT(((SUMIF(B:B,B403,C:C)*60)+SUMIF(B:B,B403,D:D))/60)&amp;" h "&amp;TEXT(MOD((SUMIF(B:B,B403,C:C)*60)+SUMIF(B:B,B403,D:D),60),"00")&amp;" min"))</f>
        <v/>
      </c>
    </row>
    <row r="404" ht="17.18">
      <c r="A404" s="60" t="str">
        <f>IF(ISBLANK(B404),"",_xlfn.ISOWEEKNUM('Journal de travail'!$B404))</f>
        <v/>
      </c>
      <c r="B404" s="28"/>
      <c r="C404" s="29"/>
      <c r="D404" s="30"/>
      <c r="E404" s="31"/>
      <c r="F404" s="37"/>
      <c r="G404" s="37"/>
      <c r="H404" t="str">
        <f>IF(OR(ISBLANK(B404),B404=""),"",IF(B404=B403,"",INT(((SUMIF(B:B,B404,C:C)*60)+SUMIF(B:B,B404,D:D))/60)&amp;" h "&amp;TEXT(MOD((SUMIF(B:B,B404,C:C)*60)+SUMIF(B:B,B404,D:D),60),"00")&amp;" min"))</f>
        <v/>
      </c>
    </row>
    <row r="405" ht="17.18">
      <c r="A405" s="61" t="str">
        <f>IF(ISBLANK(B405),"",_xlfn.ISOWEEKNUM('Journal de travail'!$B405))</f>
        <v/>
      </c>
      <c r="B405" s="32"/>
      <c r="C405" s="33"/>
      <c r="D405" s="34"/>
      <c r="E405" s="35"/>
      <c r="F405" s="38"/>
      <c r="G405" s="38"/>
      <c r="H405" t="str">
        <f>IF(OR(ISBLANK(B405),B405=""),"",IF(B405=B404,"",INT(((SUMIF(B:B,B405,C:C)*60)+SUMIF(B:B,B405,D:D))/60)&amp;" h "&amp;TEXT(MOD((SUMIF(B:B,B405,C:C)*60)+SUMIF(B:B,B405,D:D),60),"00")&amp;" min"))</f>
        <v/>
      </c>
    </row>
    <row r="406" ht="17.18">
      <c r="A406" s="60" t="str">
        <f>IF(ISBLANK(B406),"",_xlfn.ISOWEEKNUM('Journal de travail'!$B406))</f>
        <v/>
      </c>
      <c r="B406" s="28"/>
      <c r="C406" s="29"/>
      <c r="D406" s="30"/>
      <c r="E406" s="31"/>
      <c r="F406" s="37"/>
      <c r="G406" s="37"/>
      <c r="H406" t="str">
        <f>IF(OR(ISBLANK(B406),B406=""),"",IF(B406=B405,"",INT(((SUMIF(B:B,B406,C:C)*60)+SUMIF(B:B,B406,D:D))/60)&amp;" h "&amp;TEXT(MOD((SUMIF(B:B,B406,C:C)*60)+SUMIF(B:B,B406,D:D),60),"00")&amp;" min"))</f>
        <v/>
      </c>
    </row>
    <row r="407" ht="17.18">
      <c r="A407" s="61" t="str">
        <f>IF(ISBLANK(B407),"",_xlfn.ISOWEEKNUM('Journal de travail'!$B407))</f>
        <v/>
      </c>
      <c r="B407" s="32"/>
      <c r="C407" s="33"/>
      <c r="D407" s="34"/>
      <c r="E407" s="35"/>
      <c r="F407" s="38"/>
      <c r="G407" s="38"/>
      <c r="H407" t="str">
        <f>IF(OR(ISBLANK(B407),B407=""),"",IF(B407=B406,"",INT(((SUMIF(B:B,B407,C:C)*60)+SUMIF(B:B,B407,D:D))/60)&amp;" h "&amp;TEXT(MOD((SUMIF(B:B,B407,C:C)*60)+SUMIF(B:B,B407,D:D),60),"00")&amp;" min"))</f>
        <v/>
      </c>
    </row>
    <row r="408" ht="17.18">
      <c r="A408" s="60" t="str">
        <f>IF(ISBLANK(B408),"",_xlfn.ISOWEEKNUM('Journal de travail'!$B408))</f>
        <v/>
      </c>
      <c r="B408" s="28"/>
      <c r="C408" s="29"/>
      <c r="D408" s="30"/>
      <c r="E408" s="31"/>
      <c r="F408" s="37"/>
      <c r="G408" s="37"/>
      <c r="H408" t="str">
        <f>IF(OR(ISBLANK(B408),B408=""),"",IF(B408=B407,"",INT(((SUMIF(B:B,B408,C:C)*60)+SUMIF(B:B,B408,D:D))/60)&amp;" h "&amp;TEXT(MOD((SUMIF(B:B,B408,C:C)*60)+SUMIF(B:B,B408,D:D),60),"00")&amp;" min"))</f>
        <v/>
      </c>
    </row>
    <row r="409" ht="17.18">
      <c r="A409" s="61" t="str">
        <f>IF(ISBLANK(B409),"",_xlfn.ISOWEEKNUM('Journal de travail'!$B409))</f>
        <v/>
      </c>
      <c r="B409" s="32"/>
      <c r="C409" s="33"/>
      <c r="D409" s="34"/>
      <c r="E409" s="35"/>
      <c r="F409" s="38"/>
      <c r="G409" s="38"/>
      <c r="H409" t="str">
        <f>IF(OR(ISBLANK(B409),B409=""),"",IF(B409=B408,"",INT(((SUMIF(B:B,B409,C:C)*60)+SUMIF(B:B,B409,D:D))/60)&amp;" h "&amp;TEXT(MOD((SUMIF(B:B,B409,C:C)*60)+SUMIF(B:B,B409,D:D),60),"00")&amp;" min"))</f>
        <v/>
      </c>
    </row>
    <row r="410" ht="17.18">
      <c r="A410" s="60" t="str">
        <f>IF(ISBLANK(B410),"",_xlfn.ISOWEEKNUM('Journal de travail'!$B410))</f>
        <v/>
      </c>
      <c r="B410" s="28"/>
      <c r="C410" s="29"/>
      <c r="D410" s="30"/>
      <c r="E410" s="31"/>
      <c r="F410" s="37"/>
      <c r="G410" s="37"/>
      <c r="H410" t="str">
        <f>IF(OR(ISBLANK(B410),B410=""),"",IF(B410=B409,"",INT(((SUMIF(B:B,B410,C:C)*60)+SUMIF(B:B,B410,D:D))/60)&amp;" h "&amp;TEXT(MOD((SUMIF(B:B,B410,C:C)*60)+SUMIF(B:B,B410,D:D),60),"00")&amp;" min"))</f>
        <v/>
      </c>
    </row>
    <row r="411" ht="17.18">
      <c r="A411" s="61" t="str">
        <f>IF(ISBLANK(B411),"",_xlfn.ISOWEEKNUM('Journal de travail'!$B411))</f>
        <v/>
      </c>
      <c r="B411" s="32"/>
      <c r="C411" s="33"/>
      <c r="D411" s="34"/>
      <c r="E411" s="35"/>
      <c r="F411" s="38"/>
      <c r="G411" s="38"/>
      <c r="H411" t="str">
        <f>IF(OR(ISBLANK(B411),B411=""),"",IF(B411=B410,"",INT(((SUMIF(B:B,B411,C:C)*60)+SUMIF(B:B,B411,D:D))/60)&amp;" h "&amp;TEXT(MOD((SUMIF(B:B,B411,C:C)*60)+SUMIF(B:B,B411,D:D),60),"00")&amp;" min"))</f>
        <v/>
      </c>
    </row>
    <row r="412" ht="17.18">
      <c r="A412" s="60" t="str">
        <f>IF(ISBLANK(B412),"",_xlfn.ISOWEEKNUM('Journal de travail'!$B412))</f>
        <v/>
      </c>
      <c r="B412" s="28"/>
      <c r="C412" s="29"/>
      <c r="D412" s="30"/>
      <c r="E412" s="31"/>
      <c r="F412" s="37"/>
      <c r="G412" s="37"/>
      <c r="H412" t="str">
        <f>IF(OR(ISBLANK(B412),B412=""),"",IF(B412=B411,"",INT(((SUMIF(B:B,B412,C:C)*60)+SUMIF(B:B,B412,D:D))/60)&amp;" h "&amp;TEXT(MOD((SUMIF(B:B,B412,C:C)*60)+SUMIF(B:B,B412,D:D),60),"00")&amp;" min"))</f>
        <v/>
      </c>
    </row>
    <row r="413" ht="17.18">
      <c r="A413" s="61" t="str">
        <f>IF(ISBLANK(B413),"",_xlfn.ISOWEEKNUM('Journal de travail'!$B413))</f>
        <v/>
      </c>
      <c r="B413" s="32"/>
      <c r="C413" s="33"/>
      <c r="D413" s="34"/>
      <c r="E413" s="35"/>
      <c r="F413" s="38"/>
      <c r="G413" s="38"/>
      <c r="H413" t="str">
        <f>IF(OR(ISBLANK(B413),B413=""),"",IF(B413=B412,"",INT(((SUMIF(B:B,B413,C:C)*60)+SUMIF(B:B,B413,D:D))/60)&amp;" h "&amp;TEXT(MOD((SUMIF(B:B,B413,C:C)*60)+SUMIF(B:B,B413,D:D),60),"00")&amp;" min"))</f>
        <v/>
      </c>
    </row>
    <row r="414" ht="17.18">
      <c r="A414" s="60" t="str">
        <f>IF(ISBLANK(B414),"",_xlfn.ISOWEEKNUM('Journal de travail'!$B414))</f>
        <v/>
      </c>
      <c r="B414" s="28"/>
      <c r="C414" s="29"/>
      <c r="D414" s="30"/>
      <c r="E414" s="31"/>
      <c r="F414" s="37"/>
      <c r="G414" s="37"/>
      <c r="H414" t="str">
        <f>IF(OR(ISBLANK(B414),B414=""),"",IF(B414=B413,"",INT(((SUMIF(B:B,B414,C:C)*60)+SUMIF(B:B,B414,D:D))/60)&amp;" h "&amp;TEXT(MOD((SUMIF(B:B,B414,C:C)*60)+SUMIF(B:B,B414,D:D),60),"00")&amp;" min"))</f>
        <v/>
      </c>
    </row>
    <row r="415" ht="17.18">
      <c r="A415" s="61" t="str">
        <f>IF(ISBLANK(B415),"",_xlfn.ISOWEEKNUM('Journal de travail'!$B415))</f>
        <v/>
      </c>
      <c r="B415" s="32"/>
      <c r="C415" s="33"/>
      <c r="D415" s="34"/>
      <c r="E415" s="35"/>
      <c r="F415" s="38"/>
      <c r="G415" s="38"/>
      <c r="H415" t="str">
        <f>IF(OR(ISBLANK(B415),B415=""),"",IF(B415=B414,"",INT(((SUMIF(B:B,B415,C:C)*60)+SUMIF(B:B,B415,D:D))/60)&amp;" h "&amp;TEXT(MOD((SUMIF(B:B,B415,C:C)*60)+SUMIF(B:B,B415,D:D),60),"00")&amp;" min"))</f>
        <v/>
      </c>
    </row>
    <row r="416" ht="17.18">
      <c r="A416" s="60" t="str">
        <f>IF(ISBLANK(B416),"",_xlfn.ISOWEEKNUM('Journal de travail'!$B416))</f>
        <v/>
      </c>
      <c r="B416" s="28"/>
      <c r="C416" s="29"/>
      <c r="D416" s="30"/>
      <c r="E416" s="31"/>
      <c r="F416" s="37"/>
      <c r="G416" s="37"/>
      <c r="H416" t="str">
        <f>IF(OR(ISBLANK(B416),B416=""),"",IF(B416=B415,"",INT(((SUMIF(B:B,B416,C:C)*60)+SUMIF(B:B,B416,D:D))/60)&amp;" h "&amp;TEXT(MOD((SUMIF(B:B,B416,C:C)*60)+SUMIF(B:B,B416,D:D),60),"00")&amp;" min"))</f>
        <v/>
      </c>
    </row>
    <row r="417" ht="17.18">
      <c r="A417" s="61" t="str">
        <f>IF(ISBLANK(B417),"",_xlfn.ISOWEEKNUM('Journal de travail'!$B417))</f>
        <v/>
      </c>
      <c r="B417" s="32"/>
      <c r="C417" s="33"/>
      <c r="D417" s="34"/>
      <c r="E417" s="35"/>
      <c r="F417" s="38"/>
      <c r="G417" s="38"/>
      <c r="H417" t="str">
        <f>IF(OR(ISBLANK(B417),B417=""),"",IF(B417=B416,"",INT(((SUMIF(B:B,B417,C:C)*60)+SUMIF(B:B,B417,D:D))/60)&amp;" h "&amp;TEXT(MOD((SUMIF(B:B,B417,C:C)*60)+SUMIF(B:B,B417,D:D),60),"00")&amp;" min"))</f>
        <v/>
      </c>
    </row>
    <row r="418" ht="17.18">
      <c r="A418" s="60" t="str">
        <f>IF(ISBLANK(B418),"",_xlfn.ISOWEEKNUM('Journal de travail'!$B418))</f>
        <v/>
      </c>
      <c r="B418" s="28"/>
      <c r="C418" s="29"/>
      <c r="D418" s="30"/>
      <c r="E418" s="31"/>
      <c r="F418" s="37"/>
      <c r="G418" s="37"/>
      <c r="H418" t="str">
        <f>IF(OR(ISBLANK(B418),B418=""),"",IF(B418=B417,"",INT(((SUMIF(B:B,B418,C:C)*60)+SUMIF(B:B,B418,D:D))/60)&amp;" h "&amp;TEXT(MOD((SUMIF(B:B,B418,C:C)*60)+SUMIF(B:B,B418,D:D),60),"00")&amp;" min"))</f>
        <v/>
      </c>
    </row>
    <row r="419" ht="17.18">
      <c r="A419" s="61" t="str">
        <f>IF(ISBLANK(B419),"",_xlfn.ISOWEEKNUM('Journal de travail'!$B419))</f>
        <v/>
      </c>
      <c r="B419" s="32"/>
      <c r="C419" s="33"/>
      <c r="D419" s="34"/>
      <c r="E419" s="35"/>
      <c r="F419" s="38"/>
      <c r="G419" s="38"/>
      <c r="H419" t="str">
        <f>IF(OR(ISBLANK(B419),B419=""),"",IF(B419=B418,"",INT(((SUMIF(B:B,B419,C:C)*60)+SUMIF(B:B,B419,D:D))/60)&amp;" h "&amp;TEXT(MOD((SUMIF(B:B,B419,C:C)*60)+SUMIF(B:B,B419,D:D),60),"00")&amp;" min"))</f>
        <v/>
      </c>
    </row>
    <row r="420" ht="17.18">
      <c r="A420" s="60" t="str">
        <f>IF(ISBLANK(B420),"",_xlfn.ISOWEEKNUM('Journal de travail'!$B420))</f>
        <v/>
      </c>
      <c r="B420" s="28"/>
      <c r="C420" s="29"/>
      <c r="D420" s="30"/>
      <c r="E420" s="31"/>
      <c r="F420" s="37"/>
      <c r="G420" s="37"/>
      <c r="H420" t="str">
        <f>IF(OR(ISBLANK(B420),B420=""),"",IF(B420=B419,"",INT(((SUMIF(B:B,B420,C:C)*60)+SUMIF(B:B,B420,D:D))/60)&amp;" h "&amp;TEXT(MOD((SUMIF(B:B,B420,C:C)*60)+SUMIF(B:B,B420,D:D),60),"00")&amp;" min"))</f>
        <v/>
      </c>
    </row>
    <row r="421" ht="17.18">
      <c r="A421" s="61" t="str">
        <f>IF(ISBLANK(B421),"",_xlfn.ISOWEEKNUM('Journal de travail'!$B421))</f>
        <v/>
      </c>
      <c r="B421" s="32"/>
      <c r="C421" s="33"/>
      <c r="D421" s="34"/>
      <c r="E421" s="35"/>
      <c r="F421" s="38"/>
      <c r="G421" s="38"/>
      <c r="H421" t="str">
        <f>IF(OR(ISBLANK(B421),B421=""),"",IF(B421=B420,"",INT(((SUMIF(B:B,B421,C:C)*60)+SUMIF(B:B,B421,D:D))/60)&amp;" h "&amp;TEXT(MOD((SUMIF(B:B,B421,C:C)*60)+SUMIF(B:B,B421,D:D),60),"00")&amp;" min"))</f>
        <v/>
      </c>
    </row>
    <row r="422" ht="17.18">
      <c r="A422" s="60" t="str">
        <f>IF(ISBLANK(B422),"",_xlfn.ISOWEEKNUM('Journal de travail'!$B422))</f>
        <v/>
      </c>
      <c r="B422" s="28"/>
      <c r="C422" s="29"/>
      <c r="D422" s="30"/>
      <c r="E422" s="31"/>
      <c r="F422" s="37"/>
      <c r="G422" s="37"/>
      <c r="H422" t="str">
        <f>IF(OR(ISBLANK(B422),B422=""),"",IF(B422=B421,"",INT(((SUMIF(B:B,B422,C:C)*60)+SUMIF(B:B,B422,D:D))/60)&amp;" h "&amp;TEXT(MOD((SUMIF(B:B,B422,C:C)*60)+SUMIF(B:B,B422,D:D),60),"00")&amp;" min"))</f>
        <v/>
      </c>
    </row>
    <row r="423" ht="17.18">
      <c r="A423" s="61" t="str">
        <f>IF(ISBLANK(B423),"",_xlfn.ISOWEEKNUM('Journal de travail'!$B423))</f>
        <v/>
      </c>
      <c r="B423" s="32"/>
      <c r="C423" s="33"/>
      <c r="D423" s="34"/>
      <c r="E423" s="35"/>
      <c r="F423" s="38"/>
      <c r="G423" s="38"/>
      <c r="H423" t="str">
        <f>IF(OR(ISBLANK(B423),B423=""),"",IF(B423=B422,"",INT(((SUMIF(B:B,B423,C:C)*60)+SUMIF(B:B,B423,D:D))/60)&amp;" h "&amp;TEXT(MOD((SUMIF(B:B,B423,C:C)*60)+SUMIF(B:B,B423,D:D),60),"00")&amp;" min"))</f>
        <v/>
      </c>
    </row>
    <row r="424" ht="17.18">
      <c r="A424" s="60" t="str">
        <f>IF(ISBLANK(B424),"",_xlfn.ISOWEEKNUM('Journal de travail'!$B424))</f>
        <v/>
      </c>
      <c r="B424" s="28"/>
      <c r="C424" s="29"/>
      <c r="D424" s="30"/>
      <c r="E424" s="31"/>
      <c r="F424" s="37"/>
      <c r="G424" s="37"/>
      <c r="H424" t="str">
        <f>IF(OR(ISBLANK(B424),B424=""),"",IF(B424=B423,"",INT(((SUMIF(B:B,B424,C:C)*60)+SUMIF(B:B,B424,D:D))/60)&amp;" h "&amp;TEXT(MOD((SUMIF(B:B,B424,C:C)*60)+SUMIF(B:B,B424,D:D),60),"00")&amp;" min"))</f>
        <v/>
      </c>
    </row>
    <row r="425" ht="17.18">
      <c r="A425" s="61" t="str">
        <f>IF(ISBLANK(B425),"",_xlfn.ISOWEEKNUM('Journal de travail'!$B425))</f>
        <v/>
      </c>
      <c r="B425" s="32"/>
      <c r="C425" s="33"/>
      <c r="D425" s="34"/>
      <c r="E425" s="35"/>
      <c r="F425" s="38"/>
      <c r="G425" s="38"/>
      <c r="H425" t="str">
        <f>IF(OR(ISBLANK(B425),B425=""),"",IF(B425=B424,"",INT(((SUMIF(B:B,B425,C:C)*60)+SUMIF(B:B,B425,D:D))/60)&amp;" h "&amp;TEXT(MOD((SUMIF(B:B,B425,C:C)*60)+SUMIF(B:B,B425,D:D),60),"00")&amp;" min"))</f>
        <v/>
      </c>
    </row>
    <row r="426" ht="17.18">
      <c r="A426" s="60" t="str">
        <f>IF(ISBLANK(B426),"",_xlfn.ISOWEEKNUM('Journal de travail'!$B426))</f>
        <v/>
      </c>
      <c r="B426" s="28"/>
      <c r="C426" s="29"/>
      <c r="D426" s="30"/>
      <c r="E426" s="31"/>
      <c r="F426" s="37"/>
      <c r="G426" s="37"/>
      <c r="H426" t="str">
        <f>IF(OR(ISBLANK(B426),B426=""),"",IF(B426=B425,"",INT(((SUMIF(B:B,B426,C:C)*60)+SUMIF(B:B,B426,D:D))/60)&amp;" h "&amp;TEXT(MOD((SUMIF(B:B,B426,C:C)*60)+SUMIF(B:B,B426,D:D),60),"00")&amp;" min"))</f>
        <v/>
      </c>
    </row>
    <row r="427" ht="17.18">
      <c r="A427" s="61" t="str">
        <f>IF(ISBLANK(B427),"",_xlfn.ISOWEEKNUM('Journal de travail'!$B427))</f>
        <v/>
      </c>
      <c r="B427" s="32"/>
      <c r="C427" s="33"/>
      <c r="D427" s="34"/>
      <c r="E427" s="35"/>
      <c r="F427" s="38"/>
      <c r="G427" s="38"/>
      <c r="H427" t="str">
        <f>IF(OR(ISBLANK(B427),B427=""),"",IF(B427=B426,"",INT(((SUMIF(B:B,B427,C:C)*60)+SUMIF(B:B,B427,D:D))/60)&amp;" h "&amp;TEXT(MOD((SUMIF(B:B,B427,C:C)*60)+SUMIF(B:B,B427,D:D),60),"00")&amp;" min"))</f>
        <v/>
      </c>
    </row>
    <row r="428" ht="17.18">
      <c r="A428" s="60" t="str">
        <f>IF(ISBLANK(B428),"",_xlfn.ISOWEEKNUM('Journal de travail'!$B428))</f>
        <v/>
      </c>
      <c r="B428" s="28"/>
      <c r="C428" s="29"/>
      <c r="D428" s="30"/>
      <c r="E428" s="31"/>
      <c r="F428" s="37"/>
      <c r="G428" s="37"/>
      <c r="H428" t="str">
        <f>IF(OR(ISBLANK(B428),B428=""),"",IF(B428=B427,"",INT(((SUMIF(B:B,B428,C:C)*60)+SUMIF(B:B,B428,D:D))/60)&amp;" h "&amp;TEXT(MOD((SUMIF(B:B,B428,C:C)*60)+SUMIF(B:B,B428,D:D),60),"00")&amp;" min"))</f>
        <v/>
      </c>
    </row>
    <row r="429" ht="17.18">
      <c r="A429" s="61" t="str">
        <f>IF(ISBLANK(B429),"",_xlfn.ISOWEEKNUM('Journal de travail'!$B429))</f>
        <v/>
      </c>
      <c r="B429" s="32"/>
      <c r="C429" s="33"/>
      <c r="D429" s="34"/>
      <c r="E429" s="35"/>
      <c r="F429" s="38"/>
      <c r="G429" s="38"/>
      <c r="H429" t="str">
        <f>IF(OR(ISBLANK(B429),B429=""),"",IF(B429=B428,"",INT(((SUMIF(B:B,B429,C:C)*60)+SUMIF(B:B,B429,D:D))/60)&amp;" h "&amp;TEXT(MOD((SUMIF(B:B,B429,C:C)*60)+SUMIF(B:B,B429,D:D),60),"00")&amp;" min"))</f>
        <v/>
      </c>
    </row>
    <row r="430" ht="17.18">
      <c r="A430" s="60" t="str">
        <f>IF(ISBLANK(B430),"",_xlfn.ISOWEEKNUM('Journal de travail'!$B430))</f>
        <v/>
      </c>
      <c r="B430" s="28"/>
      <c r="C430" s="29"/>
      <c r="D430" s="30"/>
      <c r="E430" s="31"/>
      <c r="F430" s="37"/>
      <c r="G430" s="37"/>
      <c r="H430" t="str">
        <f>IF(OR(ISBLANK(B430),B430=""),"",IF(B430=B429,"",INT(((SUMIF(B:B,B430,C:C)*60)+SUMIF(B:B,B430,D:D))/60)&amp;" h "&amp;TEXT(MOD((SUMIF(B:B,B430,C:C)*60)+SUMIF(B:B,B430,D:D),60),"00")&amp;" min"))</f>
        <v/>
      </c>
    </row>
    <row r="431" ht="17.18">
      <c r="A431" s="61" t="str">
        <f>IF(ISBLANK(B431),"",_xlfn.ISOWEEKNUM('Journal de travail'!$B431))</f>
        <v/>
      </c>
      <c r="B431" s="32"/>
      <c r="C431" s="33"/>
      <c r="D431" s="34"/>
      <c r="E431" s="35"/>
      <c r="F431" s="38"/>
      <c r="G431" s="38"/>
      <c r="H431" t="str">
        <f>IF(OR(ISBLANK(B431),B431=""),"",IF(B431=B430,"",INT(((SUMIF(B:B,B431,C:C)*60)+SUMIF(B:B,B431,D:D))/60)&amp;" h "&amp;TEXT(MOD((SUMIF(B:B,B431,C:C)*60)+SUMIF(B:B,B431,D:D),60),"00")&amp;" min"))</f>
        <v/>
      </c>
    </row>
    <row r="432" ht="17.18">
      <c r="A432" s="60" t="str">
        <f>IF(ISBLANK(B432),"",_xlfn.ISOWEEKNUM('Journal de travail'!$B432))</f>
        <v/>
      </c>
      <c r="B432" s="28"/>
      <c r="C432" s="29"/>
      <c r="D432" s="30"/>
      <c r="E432" s="31"/>
      <c r="F432" s="37"/>
      <c r="G432" s="37"/>
      <c r="H432" t="str">
        <f>IF(OR(ISBLANK(B432),B432=""),"",IF(B432=B431,"",INT(((SUMIF(B:B,B432,C:C)*60)+SUMIF(B:B,B432,D:D))/60)&amp;" h "&amp;TEXT(MOD((SUMIF(B:B,B432,C:C)*60)+SUMIF(B:B,B432,D:D),60),"00")&amp;" min"))</f>
        <v/>
      </c>
    </row>
    <row r="433" ht="17.18">
      <c r="A433" s="61" t="str">
        <f>IF(ISBLANK(B433),"",_xlfn.ISOWEEKNUM('Journal de travail'!$B433))</f>
        <v/>
      </c>
      <c r="B433" s="32"/>
      <c r="C433" s="33"/>
      <c r="D433" s="34"/>
      <c r="E433" s="35"/>
      <c r="F433" s="38"/>
      <c r="G433" s="38"/>
      <c r="H433" t="str">
        <f>IF(OR(ISBLANK(B433),B433=""),"",IF(B433=B432,"",INT(((SUMIF(B:B,B433,C:C)*60)+SUMIF(B:B,B433,D:D))/60)&amp;" h "&amp;TEXT(MOD((SUMIF(B:B,B433,C:C)*60)+SUMIF(B:B,B433,D:D),60),"00")&amp;" min"))</f>
        <v/>
      </c>
    </row>
    <row r="434" ht="17.18">
      <c r="A434" s="60" t="str">
        <f>IF(ISBLANK(B434),"",_xlfn.ISOWEEKNUM('Journal de travail'!$B434))</f>
        <v/>
      </c>
      <c r="B434" s="28"/>
      <c r="C434" s="29"/>
      <c r="D434" s="30"/>
      <c r="E434" s="31"/>
      <c r="F434" s="37"/>
      <c r="G434" s="37"/>
      <c r="H434" t="str">
        <f>IF(OR(ISBLANK(B434),B434=""),"",IF(B434=B433,"",INT(((SUMIF(B:B,B434,C:C)*60)+SUMIF(B:B,B434,D:D))/60)&amp;" h "&amp;TEXT(MOD((SUMIF(B:B,B434,C:C)*60)+SUMIF(B:B,B434,D:D),60),"00")&amp;" min"))</f>
        <v/>
      </c>
    </row>
    <row r="435" ht="17.18">
      <c r="A435" s="61" t="str">
        <f>IF(ISBLANK(B435),"",_xlfn.ISOWEEKNUM('Journal de travail'!$B435))</f>
        <v/>
      </c>
      <c r="B435" s="32"/>
      <c r="C435" s="33"/>
      <c r="D435" s="34"/>
      <c r="E435" s="35"/>
      <c r="F435" s="38"/>
      <c r="G435" s="38"/>
      <c r="H435" t="str">
        <f>IF(OR(ISBLANK(B435),B435=""),"",IF(B435=B434,"",INT(((SUMIF(B:B,B435,C:C)*60)+SUMIF(B:B,B435,D:D))/60)&amp;" h "&amp;TEXT(MOD((SUMIF(B:B,B435,C:C)*60)+SUMIF(B:B,B435,D:D),60),"00")&amp;" min"))</f>
        <v/>
      </c>
    </row>
    <row r="436" ht="17.18">
      <c r="A436" s="60" t="str">
        <f>IF(ISBLANK(B436),"",_xlfn.ISOWEEKNUM('Journal de travail'!$B436))</f>
        <v/>
      </c>
      <c r="B436" s="28"/>
      <c r="C436" s="29"/>
      <c r="D436" s="30"/>
      <c r="E436" s="31"/>
      <c r="F436" s="37"/>
      <c r="G436" s="37"/>
      <c r="H436" t="str">
        <f>IF(OR(ISBLANK(B436),B436=""),"",IF(B436=B435,"",INT(((SUMIF(B:B,B436,C:C)*60)+SUMIF(B:B,B436,D:D))/60)&amp;" h "&amp;TEXT(MOD((SUMIF(B:B,B436,C:C)*60)+SUMIF(B:B,B436,D:D),60),"00")&amp;" min"))</f>
        <v/>
      </c>
    </row>
    <row r="437" ht="17.18">
      <c r="A437" s="61" t="str">
        <f>IF(ISBLANK(B437),"",_xlfn.ISOWEEKNUM('Journal de travail'!$B437))</f>
        <v/>
      </c>
      <c r="B437" s="32"/>
      <c r="C437" s="33"/>
      <c r="D437" s="34"/>
      <c r="E437" s="35"/>
      <c r="F437" s="38"/>
      <c r="G437" s="38"/>
      <c r="H437" t="str">
        <f>IF(OR(ISBLANK(B437),B437=""),"",IF(B437=B436,"",INT(((SUMIF(B:B,B437,C:C)*60)+SUMIF(B:B,B437,D:D))/60)&amp;" h "&amp;TEXT(MOD((SUMIF(B:B,B437,C:C)*60)+SUMIF(B:B,B437,D:D),60),"00")&amp;" min"))</f>
        <v/>
      </c>
    </row>
    <row r="438" ht="17.18">
      <c r="A438" s="60" t="str">
        <f>IF(ISBLANK(B438),"",_xlfn.ISOWEEKNUM('Journal de travail'!$B438))</f>
        <v/>
      </c>
      <c r="B438" s="28"/>
      <c r="C438" s="29"/>
      <c r="D438" s="30"/>
      <c r="E438" s="31"/>
      <c r="F438" s="37"/>
      <c r="G438" s="37"/>
      <c r="H438" t="str">
        <f>IF(OR(ISBLANK(B438),B438=""),"",IF(B438=B437,"",INT(((SUMIF(B:B,B438,C:C)*60)+SUMIF(B:B,B438,D:D))/60)&amp;" h "&amp;TEXT(MOD((SUMIF(B:B,B438,C:C)*60)+SUMIF(B:B,B438,D:D),60),"00")&amp;" min"))</f>
        <v/>
      </c>
    </row>
    <row r="439" ht="17.18">
      <c r="A439" s="61" t="str">
        <f>IF(ISBLANK(B439),"",_xlfn.ISOWEEKNUM('Journal de travail'!$B439))</f>
        <v/>
      </c>
      <c r="B439" s="32"/>
      <c r="C439" s="33"/>
      <c r="D439" s="34"/>
      <c r="E439" s="35"/>
      <c r="F439" s="38"/>
      <c r="G439" s="38"/>
      <c r="H439" t="str">
        <f>IF(OR(ISBLANK(B439),B439=""),"",IF(B439=B438,"",INT(((SUMIF(B:B,B439,C:C)*60)+SUMIF(B:B,B439,D:D))/60)&amp;" h "&amp;TEXT(MOD((SUMIF(B:B,B439,C:C)*60)+SUMIF(B:B,B439,D:D),60),"00")&amp;" min"))</f>
        <v/>
      </c>
    </row>
    <row r="440" ht="17.18">
      <c r="A440" s="60" t="str">
        <f>IF(ISBLANK(B440),"",_xlfn.ISOWEEKNUM('Journal de travail'!$B440))</f>
        <v/>
      </c>
      <c r="B440" s="28"/>
      <c r="C440" s="29"/>
      <c r="D440" s="30"/>
      <c r="E440" s="31"/>
      <c r="F440" s="37"/>
      <c r="G440" s="37"/>
      <c r="H440" t="str">
        <f>IF(OR(ISBLANK(B440),B440=""),"",IF(B440=B439,"",INT(((SUMIF(B:B,B440,C:C)*60)+SUMIF(B:B,B440,D:D))/60)&amp;" h "&amp;TEXT(MOD((SUMIF(B:B,B440,C:C)*60)+SUMIF(B:B,B440,D:D),60),"00")&amp;" min"))</f>
        <v/>
      </c>
    </row>
    <row r="441" ht="17.18">
      <c r="A441" s="61" t="str">
        <f>IF(ISBLANK(B441),"",_xlfn.ISOWEEKNUM('Journal de travail'!$B441))</f>
        <v/>
      </c>
      <c r="B441" s="32"/>
      <c r="C441" s="33"/>
      <c r="D441" s="34"/>
      <c r="E441" s="35"/>
      <c r="F441" s="38"/>
      <c r="G441" s="38"/>
      <c r="H441" t="str">
        <f>IF(OR(ISBLANK(B441),B441=""),"",IF(B441=B440,"",INT(((SUMIF(B:B,B441,C:C)*60)+SUMIF(B:B,B441,D:D))/60)&amp;" h "&amp;TEXT(MOD((SUMIF(B:B,B441,C:C)*60)+SUMIF(B:B,B441,D:D),60),"00")&amp;" min"))</f>
        <v/>
      </c>
    </row>
    <row r="442" ht="17.18">
      <c r="A442" s="60" t="str">
        <f>IF(ISBLANK(B442),"",_xlfn.ISOWEEKNUM('Journal de travail'!$B442))</f>
        <v/>
      </c>
      <c r="B442" s="28"/>
      <c r="C442" s="29"/>
      <c r="D442" s="30"/>
      <c r="E442" s="31"/>
      <c r="F442" s="37"/>
      <c r="G442" s="37"/>
      <c r="H442" t="str">
        <f>IF(OR(ISBLANK(B442),B442=""),"",IF(B442=B441,"",INT(((SUMIF(B:B,B442,C:C)*60)+SUMIF(B:B,B442,D:D))/60)&amp;" h "&amp;TEXT(MOD((SUMIF(B:B,B442,C:C)*60)+SUMIF(B:B,B442,D:D),60),"00")&amp;" min"))</f>
        <v/>
      </c>
    </row>
    <row r="443" ht="17.18">
      <c r="A443" s="61" t="str">
        <f>IF(ISBLANK(B443),"",_xlfn.ISOWEEKNUM('Journal de travail'!$B443))</f>
        <v/>
      </c>
      <c r="B443" s="32"/>
      <c r="C443" s="33"/>
      <c r="D443" s="34"/>
      <c r="E443" s="35"/>
      <c r="F443" s="38"/>
      <c r="G443" s="38"/>
      <c r="H443" t="str">
        <f>IF(OR(ISBLANK(B443),B443=""),"",IF(B443=B442,"",INT(((SUMIF(B:B,B443,C:C)*60)+SUMIF(B:B,B443,D:D))/60)&amp;" h "&amp;TEXT(MOD((SUMIF(B:B,B443,C:C)*60)+SUMIF(B:B,B443,D:D),60),"00")&amp;" min"))</f>
        <v/>
      </c>
    </row>
    <row r="444" ht="17.18">
      <c r="A444" s="60" t="str">
        <f>IF(ISBLANK(B444),"",_xlfn.ISOWEEKNUM('Journal de travail'!$B444))</f>
        <v/>
      </c>
      <c r="B444" s="28"/>
      <c r="C444" s="29"/>
      <c r="D444" s="30"/>
      <c r="E444" s="31"/>
      <c r="F444" s="37"/>
      <c r="G444" s="37"/>
      <c r="H444" t="str">
        <f>IF(OR(ISBLANK(B444),B444=""),"",IF(B444=B443,"",INT(((SUMIF(B:B,B444,C:C)*60)+SUMIF(B:B,B444,D:D))/60)&amp;" h "&amp;TEXT(MOD((SUMIF(B:B,B444,C:C)*60)+SUMIF(B:B,B444,D:D),60),"00")&amp;" min"))</f>
        <v/>
      </c>
    </row>
    <row r="445" ht="17.18">
      <c r="A445" s="61" t="str">
        <f>IF(ISBLANK(B445),"",_xlfn.ISOWEEKNUM('Journal de travail'!$B445))</f>
        <v/>
      </c>
      <c r="B445" s="32"/>
      <c r="C445" s="33"/>
      <c r="D445" s="34"/>
      <c r="E445" s="35"/>
      <c r="F445" s="38"/>
      <c r="G445" s="38"/>
      <c r="H445" t="str">
        <f>IF(OR(ISBLANK(B445),B445=""),"",IF(B445=B444,"",INT(((SUMIF(B:B,B445,C:C)*60)+SUMIF(B:B,B445,D:D))/60)&amp;" h "&amp;TEXT(MOD((SUMIF(B:B,B445,C:C)*60)+SUMIF(B:B,B445,D:D),60),"00")&amp;" min"))</f>
        <v/>
      </c>
    </row>
    <row r="446" ht="17.18">
      <c r="A446" s="60" t="str">
        <f>IF(ISBLANK(B446),"",_xlfn.ISOWEEKNUM('Journal de travail'!$B446))</f>
        <v/>
      </c>
      <c r="B446" s="28"/>
      <c r="C446" s="29"/>
      <c r="D446" s="30"/>
      <c r="E446" s="31"/>
      <c r="F446" s="37"/>
      <c r="G446" s="37"/>
      <c r="H446" t="str">
        <f>IF(OR(ISBLANK(B446),B446=""),"",IF(B446=B445,"",INT(((SUMIF(B:B,B446,C:C)*60)+SUMIF(B:B,B446,D:D))/60)&amp;" h "&amp;TEXT(MOD((SUMIF(B:B,B446,C:C)*60)+SUMIF(B:B,B446,D:D),60),"00")&amp;" min"))</f>
        <v/>
      </c>
    </row>
    <row r="447" ht="17.18">
      <c r="A447" s="61" t="str">
        <f>IF(ISBLANK(B447),"",_xlfn.ISOWEEKNUM('Journal de travail'!$B447))</f>
        <v/>
      </c>
      <c r="B447" s="32"/>
      <c r="C447" s="33"/>
      <c r="D447" s="34"/>
      <c r="E447" s="35"/>
      <c r="F447" s="38"/>
      <c r="G447" s="38"/>
      <c r="H447" t="str">
        <f>IF(OR(ISBLANK(B447),B447=""),"",IF(B447=B446,"",INT(((SUMIF(B:B,B447,C:C)*60)+SUMIF(B:B,B447,D:D))/60)&amp;" h "&amp;TEXT(MOD((SUMIF(B:B,B447,C:C)*60)+SUMIF(B:B,B447,D:D),60),"00")&amp;" min"))</f>
        <v/>
      </c>
    </row>
    <row r="448" ht="17.18">
      <c r="A448" s="60" t="str">
        <f>IF(ISBLANK(B448),"",_xlfn.ISOWEEKNUM('Journal de travail'!$B448))</f>
        <v/>
      </c>
      <c r="B448" s="28"/>
      <c r="C448" s="29"/>
      <c r="D448" s="30"/>
      <c r="E448" s="31"/>
      <c r="F448" s="37"/>
      <c r="G448" s="37"/>
      <c r="H448" t="str">
        <f>IF(OR(ISBLANK(B448),B448=""),"",IF(B448=B447,"",INT(((SUMIF(B:B,B448,C:C)*60)+SUMIF(B:B,B448,D:D))/60)&amp;" h "&amp;TEXT(MOD((SUMIF(B:B,B448,C:C)*60)+SUMIF(B:B,B448,D:D),60),"00")&amp;" min"))</f>
        <v/>
      </c>
    </row>
    <row r="449" ht="17.18">
      <c r="A449" s="61" t="str">
        <f>IF(ISBLANK(B449),"",_xlfn.ISOWEEKNUM('Journal de travail'!$B449))</f>
        <v/>
      </c>
      <c r="B449" s="32"/>
      <c r="C449" s="33"/>
      <c r="D449" s="34"/>
      <c r="E449" s="35"/>
      <c r="F449" s="38"/>
      <c r="G449" s="38"/>
      <c r="H449" t="str">
        <f>IF(OR(ISBLANK(B449),B449=""),"",IF(B449=B448,"",INT(((SUMIF(B:B,B449,C:C)*60)+SUMIF(B:B,B449,D:D))/60)&amp;" h "&amp;TEXT(MOD((SUMIF(B:B,B449,C:C)*60)+SUMIF(B:B,B449,D:D),60),"00")&amp;" min"))</f>
        <v/>
      </c>
    </row>
    <row r="450" ht="17.18">
      <c r="A450" s="60" t="str">
        <f>IF(ISBLANK(B450),"",_xlfn.ISOWEEKNUM('Journal de travail'!$B450))</f>
        <v/>
      </c>
      <c r="B450" s="28"/>
      <c r="C450" s="29"/>
      <c r="D450" s="30"/>
      <c r="E450" s="31"/>
      <c r="F450" s="37"/>
      <c r="G450" s="37"/>
      <c r="H450" t="str">
        <f>IF(OR(ISBLANK(B450),B450=""),"",IF(B450=B449,"",INT(((SUMIF(B:B,B450,C:C)*60)+SUMIF(B:B,B450,D:D))/60)&amp;" h "&amp;TEXT(MOD((SUMIF(B:B,B450,C:C)*60)+SUMIF(B:B,B450,D:D),60),"00")&amp;" min"))</f>
        <v/>
      </c>
    </row>
    <row r="451" ht="17.18">
      <c r="A451" s="61" t="str">
        <f>IF(ISBLANK(B451),"",_xlfn.ISOWEEKNUM('Journal de travail'!$B451))</f>
        <v/>
      </c>
      <c r="B451" s="32"/>
      <c r="C451" s="33"/>
      <c r="D451" s="34"/>
      <c r="E451" s="35"/>
      <c r="F451" s="38"/>
      <c r="G451" s="38"/>
      <c r="H451" t="str">
        <f>IF(OR(ISBLANK(B451),B451=""),"",IF(B451=B450,"",INT(((SUMIF(B:B,B451,C:C)*60)+SUMIF(B:B,B451,D:D))/60)&amp;" h "&amp;TEXT(MOD((SUMIF(B:B,B451,C:C)*60)+SUMIF(B:B,B451,D:D),60),"00")&amp;" min"))</f>
        <v/>
      </c>
    </row>
    <row r="452" ht="17.18">
      <c r="A452" s="60" t="str">
        <f>IF(ISBLANK(B452),"",_xlfn.ISOWEEKNUM('Journal de travail'!$B452))</f>
        <v/>
      </c>
      <c r="B452" s="28"/>
      <c r="C452" s="29"/>
      <c r="D452" s="30"/>
      <c r="E452" s="31"/>
      <c r="F452" s="37"/>
      <c r="G452" s="37"/>
      <c r="H452" t="str">
        <f>IF(OR(ISBLANK(B452),B452=""),"",IF(B452=B451,"",INT(((SUMIF(B:B,B452,C:C)*60)+SUMIF(B:B,B452,D:D))/60)&amp;" h "&amp;TEXT(MOD((SUMIF(B:B,B452,C:C)*60)+SUMIF(B:B,B452,D:D),60),"00")&amp;" min"))</f>
        <v/>
      </c>
    </row>
    <row r="453" ht="17.18">
      <c r="A453" s="61" t="str">
        <f>IF(ISBLANK(B453),"",_xlfn.ISOWEEKNUM('Journal de travail'!$B453))</f>
        <v/>
      </c>
      <c r="B453" s="32"/>
      <c r="C453" s="33"/>
      <c r="D453" s="34"/>
      <c r="E453" s="35"/>
      <c r="F453" s="38"/>
      <c r="G453" s="38"/>
      <c r="H453" t="str">
        <f>IF(OR(ISBLANK(B453),B453=""),"",IF(B453=B452,"",INT(((SUMIF(B:B,B453,C:C)*60)+SUMIF(B:B,B453,D:D))/60)&amp;" h "&amp;TEXT(MOD((SUMIF(B:B,B453,C:C)*60)+SUMIF(B:B,B453,D:D),60),"00")&amp;" min"))</f>
        <v/>
      </c>
    </row>
    <row r="454" ht="17.18">
      <c r="A454" s="60" t="str">
        <f>IF(ISBLANK(B454),"",_xlfn.ISOWEEKNUM('Journal de travail'!$B454))</f>
        <v/>
      </c>
      <c r="B454" s="28"/>
      <c r="C454" s="29"/>
      <c r="D454" s="30"/>
      <c r="E454" s="31"/>
      <c r="F454" s="37"/>
      <c r="G454" s="37"/>
      <c r="H454" t="str">
        <f>IF(OR(ISBLANK(B454),B454=""),"",IF(B454=B453,"",INT(((SUMIF(B:B,B454,C:C)*60)+SUMIF(B:B,B454,D:D))/60)&amp;" h "&amp;TEXT(MOD((SUMIF(B:B,B454,C:C)*60)+SUMIF(B:B,B454,D:D),60),"00")&amp;" min"))</f>
        <v/>
      </c>
    </row>
    <row r="455" ht="17.18">
      <c r="A455" s="61" t="str">
        <f>IF(ISBLANK(B455),"",_xlfn.ISOWEEKNUM('Journal de travail'!$B455))</f>
        <v/>
      </c>
      <c r="B455" s="32"/>
      <c r="C455" s="33"/>
      <c r="D455" s="34"/>
      <c r="E455" s="35"/>
      <c r="F455" s="38"/>
      <c r="G455" s="38"/>
      <c r="H455" t="str">
        <f>IF(OR(ISBLANK(B455),B455=""),"",IF(B455=B454,"",INT(((SUMIF(B:B,B455,C:C)*60)+SUMIF(B:B,B455,D:D))/60)&amp;" h "&amp;TEXT(MOD((SUMIF(B:B,B455,C:C)*60)+SUMIF(B:B,B455,D:D),60),"00")&amp;" min"))</f>
        <v/>
      </c>
    </row>
    <row r="456" ht="17.18">
      <c r="A456" s="60" t="str">
        <f>IF(ISBLANK(B456),"",_xlfn.ISOWEEKNUM('Journal de travail'!$B456))</f>
        <v/>
      </c>
      <c r="B456" s="28"/>
      <c r="C456" s="29"/>
      <c r="D456" s="30"/>
      <c r="E456" s="31"/>
      <c r="F456" s="37"/>
      <c r="G456" s="37"/>
      <c r="H456" t="str">
        <f>IF(OR(ISBLANK(B456),B456=""),"",IF(B456=B455,"",INT(((SUMIF(B:B,B456,C:C)*60)+SUMIF(B:B,B456,D:D))/60)&amp;" h "&amp;TEXT(MOD((SUMIF(B:B,B456,C:C)*60)+SUMIF(B:B,B456,D:D),60),"00")&amp;" min"))</f>
        <v/>
      </c>
    </row>
    <row r="457" ht="17.18">
      <c r="A457" s="61" t="str">
        <f>IF(ISBLANK(B457),"",_xlfn.ISOWEEKNUM('Journal de travail'!$B457))</f>
        <v/>
      </c>
      <c r="B457" s="32"/>
      <c r="C457" s="33"/>
      <c r="D457" s="34"/>
      <c r="E457" s="35"/>
      <c r="F457" s="38"/>
      <c r="G457" s="38"/>
      <c r="H457" t="str">
        <f>IF(OR(ISBLANK(B457),B457=""),"",IF(B457=B456,"",INT(((SUMIF(B:B,B457,C:C)*60)+SUMIF(B:B,B457,D:D))/60)&amp;" h "&amp;TEXT(MOD((SUMIF(B:B,B457,C:C)*60)+SUMIF(B:B,B457,D:D),60),"00")&amp;" min"))</f>
        <v/>
      </c>
    </row>
    <row r="458" ht="17.18">
      <c r="A458" s="60" t="str">
        <f>IF(ISBLANK(B458),"",_xlfn.ISOWEEKNUM('Journal de travail'!$B458))</f>
        <v/>
      </c>
      <c r="B458" s="28"/>
      <c r="C458" s="29"/>
      <c r="D458" s="30"/>
      <c r="E458" s="31"/>
      <c r="F458" s="37"/>
      <c r="G458" s="37"/>
      <c r="H458" t="str">
        <f>IF(OR(ISBLANK(B458),B458=""),"",IF(B458=B457,"",INT(((SUMIF(B:B,B458,C:C)*60)+SUMIF(B:B,B458,D:D))/60)&amp;" h "&amp;TEXT(MOD((SUMIF(B:B,B458,C:C)*60)+SUMIF(B:B,B458,D:D),60),"00")&amp;" min"))</f>
        <v/>
      </c>
    </row>
    <row r="459" ht="17.18">
      <c r="A459" s="61" t="str">
        <f>IF(ISBLANK(B459),"",_xlfn.ISOWEEKNUM('Journal de travail'!$B459))</f>
        <v/>
      </c>
      <c r="B459" s="32"/>
      <c r="C459" s="33"/>
      <c r="D459" s="34"/>
      <c r="E459" s="35"/>
      <c r="F459" s="38"/>
      <c r="G459" s="38"/>
      <c r="H459" t="str">
        <f>IF(OR(ISBLANK(B459),B459=""),"",IF(B459=B458,"",INT(((SUMIF(B:B,B459,C:C)*60)+SUMIF(B:B,B459,D:D))/60)&amp;" h "&amp;TEXT(MOD((SUMIF(B:B,B459,C:C)*60)+SUMIF(B:B,B459,D:D),60),"00")&amp;" min"))</f>
        <v/>
      </c>
    </row>
    <row r="460" ht="17.18">
      <c r="A460" s="60" t="str">
        <f>IF(ISBLANK(B460),"",_xlfn.ISOWEEKNUM('Journal de travail'!$B460))</f>
        <v/>
      </c>
      <c r="B460" s="28"/>
      <c r="C460" s="29"/>
      <c r="D460" s="30"/>
      <c r="E460" s="31"/>
      <c r="F460" s="37"/>
      <c r="G460" s="37"/>
      <c r="H460" t="str">
        <f>IF(OR(ISBLANK(B460),B460=""),"",IF(B460=B459,"",INT(((SUMIF(B:B,B460,C:C)*60)+SUMIF(B:B,B460,D:D))/60)&amp;" h "&amp;TEXT(MOD((SUMIF(B:B,B460,C:C)*60)+SUMIF(B:B,B460,D:D),60),"00")&amp;" min"))</f>
        <v/>
      </c>
    </row>
    <row r="461" ht="17.18">
      <c r="A461" s="61" t="str">
        <f>IF(ISBLANK(B461),"",_xlfn.ISOWEEKNUM('Journal de travail'!$B461))</f>
        <v/>
      </c>
      <c r="B461" s="32"/>
      <c r="C461" s="33"/>
      <c r="D461" s="34"/>
      <c r="E461" s="35"/>
      <c r="F461" s="38"/>
      <c r="G461" s="38"/>
      <c r="H461" t="str">
        <f>IF(OR(ISBLANK(B461),B461=""),"",IF(B461=B460,"",INT(((SUMIF(B:B,B461,C:C)*60)+SUMIF(B:B,B461,D:D))/60)&amp;" h "&amp;TEXT(MOD((SUMIF(B:B,B461,C:C)*60)+SUMIF(B:B,B461,D:D),60),"00")&amp;" min"))</f>
        <v/>
      </c>
    </row>
    <row r="462" ht="17.18">
      <c r="A462" s="60" t="str">
        <f>IF(ISBLANK(B462),"",_xlfn.ISOWEEKNUM('Journal de travail'!$B462))</f>
        <v/>
      </c>
      <c r="B462" s="28"/>
      <c r="C462" s="29"/>
      <c r="D462" s="30"/>
      <c r="E462" s="31"/>
      <c r="F462" s="37"/>
      <c r="G462" s="37"/>
      <c r="H462" t="str">
        <f>IF(OR(ISBLANK(B462),B462=""),"",IF(B462=B461,"",INT(((SUMIF(B:B,B462,C:C)*60)+SUMIF(B:B,B462,D:D))/60)&amp;" h "&amp;TEXT(MOD((SUMIF(B:B,B462,C:C)*60)+SUMIF(B:B,B462,D:D),60),"00")&amp;" min"))</f>
        <v/>
      </c>
    </row>
    <row r="463" ht="17.18">
      <c r="A463" s="61" t="str">
        <f>IF(ISBLANK(B463),"",_xlfn.ISOWEEKNUM('Journal de travail'!$B463))</f>
        <v/>
      </c>
      <c r="B463" s="32"/>
      <c r="C463" s="33"/>
      <c r="D463" s="34"/>
      <c r="E463" s="35"/>
      <c r="F463" s="38"/>
      <c r="G463" s="38"/>
      <c r="H463" t="str">
        <f>IF(OR(ISBLANK(B463),B463=""),"",IF(B463=B462,"",INT(((SUMIF(B:B,B463,C:C)*60)+SUMIF(B:B,B463,D:D))/60)&amp;" h "&amp;TEXT(MOD((SUMIF(B:B,B463,C:C)*60)+SUMIF(B:B,B463,D:D),60),"00")&amp;" min"))</f>
        <v/>
      </c>
    </row>
    <row r="464" ht="17.18">
      <c r="A464" s="60" t="str">
        <f>IF(ISBLANK(B464),"",_xlfn.ISOWEEKNUM('Journal de travail'!$B464))</f>
        <v/>
      </c>
      <c r="B464" s="28"/>
      <c r="C464" s="29"/>
      <c r="D464" s="30"/>
      <c r="E464" s="31"/>
      <c r="F464" s="37"/>
      <c r="G464" s="37"/>
      <c r="H464" t="str">
        <f>IF(OR(ISBLANK(B464),B464=""),"",IF(B464=B463,"",INT(((SUMIF(B:B,B464,C:C)*60)+SUMIF(B:B,B464,D:D))/60)&amp;" h "&amp;TEXT(MOD((SUMIF(B:B,B464,C:C)*60)+SUMIF(B:B,B464,D:D),60),"00")&amp;" min"))</f>
        <v/>
      </c>
    </row>
    <row r="465" ht="17.18">
      <c r="A465" s="61" t="str">
        <f>IF(ISBLANK(B465),"",_xlfn.ISOWEEKNUM('Journal de travail'!$B465))</f>
        <v/>
      </c>
      <c r="B465" s="32"/>
      <c r="C465" s="33"/>
      <c r="D465" s="34"/>
      <c r="E465" s="35"/>
      <c r="F465" s="38"/>
      <c r="G465" s="38"/>
      <c r="H465" t="str">
        <f>IF(OR(ISBLANK(B465),B465=""),"",IF(B465=B464,"",INT(((SUMIF(B:B,B465,C:C)*60)+SUMIF(B:B,B465,D:D))/60)&amp;" h "&amp;TEXT(MOD((SUMIF(B:B,B465,C:C)*60)+SUMIF(B:B,B465,D:D),60),"00")&amp;" min"))</f>
        <v/>
      </c>
    </row>
    <row r="466" ht="17.18">
      <c r="A466" s="60" t="str">
        <f>IF(ISBLANK(B466),"",_xlfn.ISOWEEKNUM('Journal de travail'!$B466))</f>
        <v/>
      </c>
      <c r="B466" s="28"/>
      <c r="C466" s="29"/>
      <c r="D466" s="30"/>
      <c r="E466" s="31"/>
      <c r="F466" s="37"/>
      <c r="G466" s="37"/>
      <c r="H466" t="str">
        <f>IF(OR(ISBLANK(B466),B466=""),"",IF(B466=B465,"",INT(((SUMIF(B:B,B466,C:C)*60)+SUMIF(B:B,B466,D:D))/60)&amp;" h "&amp;TEXT(MOD((SUMIF(B:B,B466,C:C)*60)+SUMIF(B:B,B466,D:D),60),"00")&amp;" min"))</f>
        <v/>
      </c>
    </row>
    <row r="467" ht="17.18">
      <c r="A467" s="61" t="str">
        <f>IF(ISBLANK(B467),"",_xlfn.ISOWEEKNUM('Journal de travail'!$B467))</f>
        <v/>
      </c>
      <c r="B467" s="32"/>
      <c r="C467" s="33"/>
      <c r="D467" s="34"/>
      <c r="E467" s="35"/>
      <c r="F467" s="38"/>
      <c r="G467" s="38"/>
      <c r="H467" t="str">
        <f>IF(OR(ISBLANK(B467),B467=""),"",IF(B467=B466,"",INT(((SUMIF(B:B,B467,C:C)*60)+SUMIF(B:B,B467,D:D))/60)&amp;" h "&amp;TEXT(MOD((SUMIF(B:B,B467,C:C)*60)+SUMIF(B:B,B467,D:D),60),"00")&amp;" min"))</f>
        <v/>
      </c>
    </row>
    <row r="468" ht="17.18">
      <c r="A468" s="60" t="str">
        <f>IF(ISBLANK(B468),"",_xlfn.ISOWEEKNUM('Journal de travail'!$B468))</f>
        <v/>
      </c>
      <c r="B468" s="28"/>
      <c r="C468" s="29"/>
      <c r="D468" s="30"/>
      <c r="E468" s="31"/>
      <c r="F468" s="37"/>
      <c r="G468" s="37"/>
      <c r="H468" t="str">
        <f>IF(OR(ISBLANK(B468),B468=""),"",IF(B468=B467,"",INT(((SUMIF(B:B,B468,C:C)*60)+SUMIF(B:B,B468,D:D))/60)&amp;" h "&amp;TEXT(MOD((SUMIF(B:B,B468,C:C)*60)+SUMIF(B:B,B468,D:D),60),"00")&amp;" min"))</f>
        <v/>
      </c>
    </row>
    <row r="469" ht="17.18">
      <c r="A469" s="61" t="str">
        <f>IF(ISBLANK(B469),"",_xlfn.ISOWEEKNUM('Journal de travail'!$B469))</f>
        <v/>
      </c>
      <c r="B469" s="32"/>
      <c r="C469" s="33"/>
      <c r="D469" s="34"/>
      <c r="E469" s="35"/>
      <c r="F469" s="38"/>
      <c r="G469" s="38"/>
      <c r="H469" t="str">
        <f>IF(OR(ISBLANK(B469),B469=""),"",IF(B469=B468,"",INT(((SUMIF(B:B,B469,C:C)*60)+SUMIF(B:B,B469,D:D))/60)&amp;" h "&amp;TEXT(MOD((SUMIF(B:B,B469,C:C)*60)+SUMIF(B:B,B469,D:D),60),"00")&amp;" min"))</f>
        <v/>
      </c>
    </row>
    <row r="470" ht="17.18">
      <c r="A470" s="60" t="str">
        <f>IF(ISBLANK(B470),"",_xlfn.ISOWEEKNUM('Journal de travail'!$B470))</f>
        <v/>
      </c>
      <c r="B470" s="28"/>
      <c r="C470" s="29"/>
      <c r="D470" s="30"/>
      <c r="E470" s="31"/>
      <c r="F470" s="37"/>
      <c r="G470" s="37"/>
      <c r="H470" t="str">
        <f>IF(OR(ISBLANK(B470),B470=""),"",IF(B470=B469,"",INT(((SUMIF(B:B,B470,C:C)*60)+SUMIF(B:B,B470,D:D))/60)&amp;" h "&amp;TEXT(MOD((SUMIF(B:B,B470,C:C)*60)+SUMIF(B:B,B470,D:D),60),"00")&amp;" min"))</f>
        <v/>
      </c>
    </row>
    <row r="471" ht="17.18">
      <c r="A471" s="61" t="str">
        <f>IF(ISBLANK(B471),"",_xlfn.ISOWEEKNUM('Journal de travail'!$B471))</f>
        <v/>
      </c>
      <c r="B471" s="32"/>
      <c r="C471" s="33"/>
      <c r="D471" s="34"/>
      <c r="E471" s="35"/>
      <c r="F471" s="38"/>
      <c r="G471" s="38"/>
      <c r="H471" t="str">
        <f>IF(OR(ISBLANK(B471),B471=""),"",IF(B471=B470,"",INT(((SUMIF(B:B,B471,C:C)*60)+SUMIF(B:B,B471,D:D))/60)&amp;" h "&amp;TEXT(MOD((SUMIF(B:B,B471,C:C)*60)+SUMIF(B:B,B471,D:D),60),"00")&amp;" min"))</f>
        <v/>
      </c>
    </row>
    <row r="472" ht="17.18">
      <c r="A472" s="60" t="str">
        <f>IF(ISBLANK(B472),"",_xlfn.ISOWEEKNUM('Journal de travail'!$B472))</f>
        <v/>
      </c>
      <c r="B472" s="28"/>
      <c r="C472" s="29"/>
      <c r="D472" s="30"/>
      <c r="E472" s="31"/>
      <c r="F472" s="37"/>
      <c r="G472" s="37"/>
      <c r="H472" t="str">
        <f>IF(OR(ISBLANK(B472),B472=""),"",IF(B472=B471,"",INT(((SUMIF(B:B,B472,C:C)*60)+SUMIF(B:B,B472,D:D))/60)&amp;" h "&amp;TEXT(MOD((SUMIF(B:B,B472,C:C)*60)+SUMIF(B:B,B472,D:D),60),"00")&amp;" min"))</f>
        <v/>
      </c>
    </row>
    <row r="473" ht="17.18">
      <c r="A473" s="61" t="str">
        <f>IF(ISBLANK(B473),"",_xlfn.ISOWEEKNUM('Journal de travail'!$B473))</f>
        <v/>
      </c>
      <c r="B473" s="32"/>
      <c r="C473" s="33"/>
      <c r="D473" s="34"/>
      <c r="E473" s="35"/>
      <c r="F473" s="38"/>
      <c r="G473" s="38"/>
      <c r="H473" t="str">
        <f>IF(OR(ISBLANK(B473),B473=""),"",IF(B473=B472,"",INT(((SUMIF(B:B,B473,C:C)*60)+SUMIF(B:B,B473,D:D))/60)&amp;" h "&amp;TEXT(MOD((SUMIF(B:B,B473,C:C)*60)+SUMIF(B:B,B473,D:D),60),"00")&amp;" min"))</f>
        <v/>
      </c>
    </row>
    <row r="474" ht="17.18">
      <c r="A474" s="60" t="str">
        <f>IF(ISBLANK(B474),"",_xlfn.ISOWEEKNUM('Journal de travail'!$B474))</f>
        <v/>
      </c>
      <c r="B474" s="28"/>
      <c r="C474" s="29"/>
      <c r="D474" s="30"/>
      <c r="E474" s="31"/>
      <c r="F474" s="37"/>
      <c r="G474" s="37"/>
      <c r="H474" t="str">
        <f>IF(OR(ISBLANK(B474),B474=""),"",IF(B474=B473,"",INT(((SUMIF(B:B,B474,C:C)*60)+SUMIF(B:B,B474,D:D))/60)&amp;" h "&amp;TEXT(MOD((SUMIF(B:B,B474,C:C)*60)+SUMIF(B:B,B474,D:D),60),"00")&amp;" min"))</f>
        <v/>
      </c>
    </row>
    <row r="475" ht="17.18">
      <c r="A475" s="61" t="str">
        <f>IF(ISBLANK(B475),"",_xlfn.ISOWEEKNUM('Journal de travail'!$B475))</f>
        <v/>
      </c>
      <c r="B475" s="32"/>
      <c r="C475" s="33"/>
      <c r="D475" s="34"/>
      <c r="E475" s="35"/>
      <c r="F475" s="38"/>
      <c r="G475" s="38"/>
      <c r="H475" t="str">
        <f>IF(OR(ISBLANK(B475),B475=""),"",IF(B475=B474,"",INT(((SUMIF(B:B,B475,C:C)*60)+SUMIF(B:B,B475,D:D))/60)&amp;" h "&amp;TEXT(MOD((SUMIF(B:B,B475,C:C)*60)+SUMIF(B:B,B475,D:D),60),"00")&amp;" min"))</f>
        <v/>
      </c>
    </row>
    <row r="476" ht="17.18">
      <c r="A476" s="60" t="str">
        <f>IF(ISBLANK(B476),"",_xlfn.ISOWEEKNUM('Journal de travail'!$B476))</f>
        <v/>
      </c>
      <c r="B476" s="28"/>
      <c r="C476" s="29"/>
      <c r="D476" s="30"/>
      <c r="E476" s="31"/>
      <c r="F476" s="37"/>
      <c r="G476" s="37"/>
      <c r="H476" t="str">
        <f>IF(OR(ISBLANK(B476),B476=""),"",IF(B476=B475,"",INT(((SUMIF(B:B,B476,C:C)*60)+SUMIF(B:B,B476,D:D))/60)&amp;" h "&amp;TEXT(MOD((SUMIF(B:B,B476,C:C)*60)+SUMIF(B:B,B476,D:D),60),"00")&amp;" min"))</f>
        <v/>
      </c>
    </row>
    <row r="477" ht="17.18">
      <c r="A477" s="61" t="str">
        <f>IF(ISBLANK(B477),"",_xlfn.ISOWEEKNUM('Journal de travail'!$B477))</f>
        <v/>
      </c>
      <c r="B477" s="32"/>
      <c r="C477" s="33"/>
      <c r="D477" s="34"/>
      <c r="E477" s="35"/>
      <c r="F477" s="38"/>
      <c r="G477" s="38"/>
      <c r="H477" t="str">
        <f>IF(OR(ISBLANK(B477),B477=""),"",IF(B477=B476,"",INT(((SUMIF(B:B,B477,C:C)*60)+SUMIF(B:B,B477,D:D))/60)&amp;" h "&amp;TEXT(MOD((SUMIF(B:B,B477,C:C)*60)+SUMIF(B:B,B477,D:D),60),"00")&amp;" min"))</f>
        <v/>
      </c>
    </row>
    <row r="478" ht="17.18">
      <c r="A478" s="60" t="str">
        <f>IF(ISBLANK(B478),"",_xlfn.ISOWEEKNUM('Journal de travail'!$B478))</f>
        <v/>
      </c>
      <c r="B478" s="28"/>
      <c r="C478" s="29"/>
      <c r="D478" s="30"/>
      <c r="E478" s="31"/>
      <c r="F478" s="37"/>
      <c r="G478" s="37"/>
      <c r="H478" t="str">
        <f>IF(OR(ISBLANK(B478),B478=""),"",IF(B478=B477,"",INT(((SUMIF(B:B,B478,C:C)*60)+SUMIF(B:B,B478,D:D))/60)&amp;" h "&amp;TEXT(MOD((SUMIF(B:B,B478,C:C)*60)+SUMIF(B:B,B478,D:D),60),"00")&amp;" min"))</f>
        <v/>
      </c>
    </row>
    <row r="479" ht="17.18">
      <c r="A479" s="61" t="str">
        <f>IF(ISBLANK(B479),"",_xlfn.ISOWEEKNUM('Journal de travail'!$B479))</f>
        <v/>
      </c>
      <c r="B479" s="32"/>
      <c r="C479" s="33"/>
      <c r="D479" s="34"/>
      <c r="E479" s="35"/>
      <c r="F479" s="38"/>
      <c r="G479" s="38"/>
      <c r="H479" t="str">
        <f>IF(OR(ISBLANK(B479),B479=""),"",IF(B479=B478,"",INT(((SUMIF(B:B,B479,C:C)*60)+SUMIF(B:B,B479,D:D))/60)&amp;" h "&amp;TEXT(MOD((SUMIF(B:B,B479,C:C)*60)+SUMIF(B:B,B479,D:D),60),"00")&amp;" min"))</f>
        <v/>
      </c>
    </row>
    <row r="480" ht="17.18">
      <c r="A480" s="60" t="str">
        <f>IF(ISBLANK(B480),"",_xlfn.ISOWEEKNUM('Journal de travail'!$B480))</f>
        <v/>
      </c>
      <c r="B480" s="28"/>
      <c r="C480" s="29"/>
      <c r="D480" s="30"/>
      <c r="E480" s="31"/>
      <c r="F480" s="37"/>
      <c r="G480" s="37"/>
      <c r="H480" t="str">
        <f>IF(OR(ISBLANK(B480),B480=""),"",IF(B480=B479,"",INT(((SUMIF(B:B,B480,C:C)*60)+SUMIF(B:B,B480,D:D))/60)&amp;" h "&amp;TEXT(MOD((SUMIF(B:B,B480,C:C)*60)+SUMIF(B:B,B480,D:D),60),"00")&amp;" min"))</f>
        <v/>
      </c>
    </row>
    <row r="481" ht="17.18">
      <c r="A481" s="61" t="str">
        <f>IF(ISBLANK(B481),"",_xlfn.ISOWEEKNUM('Journal de travail'!$B481))</f>
        <v/>
      </c>
      <c r="B481" s="32"/>
      <c r="C481" s="33"/>
      <c r="D481" s="34"/>
      <c r="E481" s="35"/>
      <c r="F481" s="38"/>
      <c r="G481" s="38"/>
      <c r="H481" t="str">
        <f>IF(OR(ISBLANK(B481),B481=""),"",IF(B481=B480,"",INT(((SUMIF(B:B,B481,C:C)*60)+SUMIF(B:B,B481,D:D))/60)&amp;" h "&amp;TEXT(MOD((SUMIF(B:B,B481,C:C)*60)+SUMIF(B:B,B481,D:D),60),"00")&amp;" min"))</f>
        <v/>
      </c>
    </row>
    <row r="482" ht="17.18">
      <c r="A482" s="60" t="str">
        <f>IF(ISBLANK(B482),"",_xlfn.ISOWEEKNUM('Journal de travail'!$B482))</f>
        <v/>
      </c>
      <c r="B482" s="28"/>
      <c r="C482" s="29"/>
      <c r="D482" s="30"/>
      <c r="E482" s="31"/>
      <c r="F482" s="37"/>
      <c r="G482" s="37"/>
      <c r="H482" t="str">
        <f>IF(OR(ISBLANK(B482),B482=""),"",IF(B482=B481,"",INT(((SUMIF(B:B,B482,C:C)*60)+SUMIF(B:B,B482,D:D))/60)&amp;" h "&amp;TEXT(MOD((SUMIF(B:B,B482,C:C)*60)+SUMIF(B:B,B482,D:D),60),"00")&amp;" min"))</f>
        <v/>
      </c>
    </row>
    <row r="483" ht="17.18">
      <c r="A483" s="61" t="str">
        <f>IF(ISBLANK(B483),"",_xlfn.ISOWEEKNUM('Journal de travail'!$B483))</f>
        <v/>
      </c>
      <c r="B483" s="32"/>
      <c r="C483" s="33"/>
      <c r="D483" s="34"/>
      <c r="E483" s="35"/>
      <c r="F483" s="38"/>
      <c r="G483" s="38"/>
      <c r="H483" t="str">
        <f>IF(OR(ISBLANK(B483),B483=""),"",IF(B483=B482,"",INT(((SUMIF(B:B,B483,C:C)*60)+SUMIF(B:B,B483,D:D))/60)&amp;" h "&amp;TEXT(MOD((SUMIF(B:B,B483,C:C)*60)+SUMIF(B:B,B483,D:D),60),"00")&amp;" min"))</f>
        <v/>
      </c>
    </row>
    <row r="484" ht="17.18">
      <c r="A484" s="60" t="str">
        <f>IF(ISBLANK(B484),"",_xlfn.ISOWEEKNUM('Journal de travail'!$B484))</f>
        <v/>
      </c>
      <c r="B484" s="28"/>
      <c r="C484" s="29"/>
      <c r="D484" s="30"/>
      <c r="E484" s="31"/>
      <c r="F484" s="37"/>
      <c r="G484" s="37"/>
      <c r="H484" t="str">
        <f>IF(OR(ISBLANK(B484),B484=""),"",IF(B484=B483,"",INT(((SUMIF(B:B,B484,C:C)*60)+SUMIF(B:B,B484,D:D))/60)&amp;" h "&amp;TEXT(MOD((SUMIF(B:B,B484,C:C)*60)+SUMIF(B:B,B484,D:D),60),"00")&amp;" min"))</f>
        <v/>
      </c>
    </row>
    <row r="485" ht="17.18">
      <c r="A485" s="61" t="str">
        <f>IF(ISBLANK(B485),"",_xlfn.ISOWEEKNUM('Journal de travail'!$B485))</f>
        <v/>
      </c>
      <c r="B485" s="32"/>
      <c r="C485" s="33"/>
      <c r="D485" s="34"/>
      <c r="E485" s="35"/>
      <c r="F485" s="38"/>
      <c r="G485" s="38"/>
      <c r="H485" t="str">
        <f>IF(OR(ISBLANK(B485),B485=""),"",IF(B485=B484,"",INT(((SUMIF(B:B,B485,C:C)*60)+SUMIF(B:B,B485,D:D))/60)&amp;" h "&amp;TEXT(MOD((SUMIF(B:B,B485,C:C)*60)+SUMIF(B:B,B485,D:D),60),"00")&amp;" min"))</f>
        <v/>
      </c>
    </row>
    <row r="486" ht="17.18">
      <c r="A486" s="60" t="str">
        <f>IF(ISBLANK(B486),"",_xlfn.ISOWEEKNUM('Journal de travail'!$B486))</f>
        <v/>
      </c>
      <c r="B486" s="28"/>
      <c r="C486" s="29"/>
      <c r="D486" s="30"/>
      <c r="E486" s="31"/>
      <c r="F486" s="37"/>
      <c r="G486" s="37"/>
      <c r="H486" t="str">
        <f>IF(OR(ISBLANK(B486),B486=""),"",IF(B486=B485,"",INT(((SUMIF(B:B,B486,C:C)*60)+SUMIF(B:B,B486,D:D))/60)&amp;" h "&amp;TEXT(MOD((SUMIF(B:B,B486,C:C)*60)+SUMIF(B:B,B486,D:D),60),"00")&amp;" min"))</f>
        <v/>
      </c>
    </row>
    <row r="487" ht="17.18">
      <c r="A487" s="61" t="str">
        <f>IF(ISBLANK(B487),"",_xlfn.ISOWEEKNUM('Journal de travail'!$B487))</f>
        <v/>
      </c>
      <c r="B487" s="32"/>
      <c r="C487" s="33"/>
      <c r="D487" s="34"/>
      <c r="E487" s="35"/>
      <c r="F487" s="38"/>
      <c r="G487" s="38"/>
      <c r="H487" t="str">
        <f>IF(OR(ISBLANK(B487),B487=""),"",IF(B487=B486,"",INT(((SUMIF(B:B,B487,C:C)*60)+SUMIF(B:B,B487,D:D))/60)&amp;" h "&amp;TEXT(MOD((SUMIF(B:B,B487,C:C)*60)+SUMIF(B:B,B487,D:D),60),"00")&amp;" min"))</f>
        <v/>
      </c>
    </row>
    <row r="488" ht="17.18">
      <c r="A488" s="60" t="str">
        <f>IF(ISBLANK(B488),"",_xlfn.ISOWEEKNUM('Journal de travail'!$B488))</f>
        <v/>
      </c>
      <c r="B488" s="28"/>
      <c r="C488" s="29"/>
      <c r="D488" s="30"/>
      <c r="E488" s="31"/>
      <c r="F488" s="37"/>
      <c r="G488" s="37"/>
      <c r="H488" t="str">
        <f>IF(OR(ISBLANK(B488),B488=""),"",IF(B488=B487,"",INT(((SUMIF(B:B,B488,C:C)*60)+SUMIF(B:B,B488,D:D))/60)&amp;" h "&amp;TEXT(MOD((SUMIF(B:B,B488,C:C)*60)+SUMIF(B:B,B488,D:D),60),"00")&amp;" min"))</f>
        <v/>
      </c>
    </row>
    <row r="489" ht="17.18">
      <c r="A489" s="61" t="str">
        <f>IF(ISBLANK(B489),"",_xlfn.ISOWEEKNUM('Journal de travail'!$B489))</f>
        <v/>
      </c>
      <c r="B489" s="32"/>
      <c r="C489" s="33"/>
      <c r="D489" s="34"/>
      <c r="E489" s="35"/>
      <c r="F489" s="38"/>
      <c r="G489" s="38"/>
      <c r="H489" t="str">
        <f>IF(OR(ISBLANK(B489),B489=""),"",IF(B489=B488,"",INT(((SUMIF(B:B,B489,C:C)*60)+SUMIF(B:B,B489,D:D))/60)&amp;" h "&amp;TEXT(MOD((SUMIF(B:B,B489,C:C)*60)+SUMIF(B:B,B489,D:D),60),"00")&amp;" min"))</f>
        <v/>
      </c>
    </row>
    <row r="490" ht="17.18">
      <c r="A490" s="60" t="str">
        <f>IF(ISBLANK(B490),"",_xlfn.ISOWEEKNUM('Journal de travail'!$B490))</f>
        <v/>
      </c>
      <c r="B490" s="28"/>
      <c r="C490" s="29"/>
      <c r="D490" s="30"/>
      <c r="E490" s="31"/>
      <c r="F490" s="37"/>
      <c r="G490" s="37"/>
      <c r="H490" t="str">
        <f>IF(OR(ISBLANK(B490),B490=""),"",IF(B490=B489,"",INT(((SUMIF(B:B,B490,C:C)*60)+SUMIF(B:B,B490,D:D))/60)&amp;" h "&amp;TEXT(MOD((SUMIF(B:B,B490,C:C)*60)+SUMIF(B:B,B490,D:D),60),"00")&amp;" min"))</f>
        <v/>
      </c>
    </row>
    <row r="491" ht="17.18">
      <c r="A491" s="61" t="str">
        <f>IF(ISBLANK(B491),"",_xlfn.ISOWEEKNUM('Journal de travail'!$B491))</f>
        <v/>
      </c>
      <c r="B491" s="32"/>
      <c r="C491" s="33"/>
      <c r="D491" s="34"/>
      <c r="E491" s="35"/>
      <c r="F491" s="38"/>
      <c r="G491" s="38"/>
      <c r="H491" t="str">
        <f>IF(OR(ISBLANK(B491),B491=""),"",IF(B491=B490,"",INT(((SUMIF(B:B,B491,C:C)*60)+SUMIF(B:B,B491,D:D))/60)&amp;" h "&amp;TEXT(MOD((SUMIF(B:B,B491,C:C)*60)+SUMIF(B:B,B491,D:D),60),"00")&amp;" min"))</f>
        <v/>
      </c>
    </row>
    <row r="492" ht="17.18">
      <c r="A492" s="60" t="str">
        <f>IF(ISBLANK(B492),"",_xlfn.ISOWEEKNUM('Journal de travail'!$B492))</f>
        <v/>
      </c>
      <c r="B492" s="28"/>
      <c r="C492" s="29"/>
      <c r="D492" s="30"/>
      <c r="E492" s="31"/>
      <c r="F492" s="37"/>
      <c r="G492" s="37"/>
      <c r="H492" t="str">
        <f>IF(OR(ISBLANK(B492),B492=""),"",IF(B492=B491,"",INT(((SUMIF(B:B,B492,C:C)*60)+SUMIF(B:B,B492,D:D))/60)&amp;" h "&amp;TEXT(MOD((SUMIF(B:B,B492,C:C)*60)+SUMIF(B:B,B492,D:D),60),"00")&amp;" min"))</f>
        <v/>
      </c>
    </row>
    <row r="493" ht="17.18">
      <c r="A493" s="61" t="str">
        <f>IF(ISBLANK(B493),"",_xlfn.ISOWEEKNUM('Journal de travail'!$B493))</f>
        <v/>
      </c>
      <c r="B493" s="32"/>
      <c r="C493" s="33"/>
      <c r="D493" s="34"/>
      <c r="E493" s="35"/>
      <c r="F493" s="38"/>
      <c r="G493" s="38"/>
      <c r="H493" t="str">
        <f>IF(OR(ISBLANK(B493),B493=""),"",IF(B493=B492,"",INT(((SUMIF(B:B,B493,C:C)*60)+SUMIF(B:B,B493,D:D))/60)&amp;" h "&amp;TEXT(MOD((SUMIF(B:B,B493,C:C)*60)+SUMIF(B:B,B493,D:D),60),"00")&amp;" min"))</f>
        <v/>
      </c>
    </row>
    <row r="494" ht="17.18">
      <c r="A494" s="60" t="str">
        <f>IF(ISBLANK(B494),"",_xlfn.ISOWEEKNUM('Journal de travail'!$B494))</f>
        <v/>
      </c>
      <c r="B494" s="28"/>
      <c r="C494" s="29"/>
      <c r="D494" s="30"/>
      <c r="E494" s="31"/>
      <c r="F494" s="37"/>
      <c r="G494" s="37"/>
      <c r="H494" t="str">
        <f>IF(OR(ISBLANK(B494),B494=""),"",IF(B494=B493,"",INT(((SUMIF(B:B,B494,C:C)*60)+SUMIF(B:B,B494,D:D))/60)&amp;" h "&amp;TEXT(MOD((SUMIF(B:B,B494,C:C)*60)+SUMIF(B:B,B494,D:D),60),"00")&amp;" min"))</f>
        <v/>
      </c>
    </row>
    <row r="495" ht="17.18">
      <c r="A495" s="61" t="str">
        <f>IF(ISBLANK(B495),"",_xlfn.ISOWEEKNUM('Journal de travail'!$B495))</f>
        <v/>
      </c>
      <c r="B495" s="32"/>
      <c r="C495" s="33"/>
      <c r="D495" s="34"/>
      <c r="E495" s="35"/>
      <c r="F495" s="38"/>
      <c r="G495" s="38"/>
      <c r="H495" t="str">
        <f>IF(OR(ISBLANK(B495),B495=""),"",IF(B495=B494,"",INT(((SUMIF(B:B,B495,C:C)*60)+SUMIF(B:B,B495,D:D))/60)&amp;" h "&amp;TEXT(MOD((SUMIF(B:B,B495,C:C)*60)+SUMIF(B:B,B495,D:D),60),"00")&amp;" min"))</f>
        <v/>
      </c>
    </row>
    <row r="496" ht="17.18">
      <c r="A496" s="60" t="str">
        <f>IF(ISBLANK(B496),"",_xlfn.ISOWEEKNUM('Journal de travail'!$B496))</f>
        <v/>
      </c>
      <c r="B496" s="28"/>
      <c r="C496" s="29"/>
      <c r="D496" s="30"/>
      <c r="E496" s="31"/>
      <c r="F496" s="37"/>
      <c r="G496" s="37"/>
      <c r="H496" t="str">
        <f>IF(OR(ISBLANK(B496),B496=""),"",IF(B496=B495,"",INT(((SUMIF(B:B,B496,C:C)*60)+SUMIF(B:B,B496,D:D))/60)&amp;" h "&amp;TEXT(MOD((SUMIF(B:B,B496,C:C)*60)+SUMIF(B:B,B496,D:D),60),"00")&amp;" min"))</f>
        <v/>
      </c>
    </row>
    <row r="497" ht="17.18">
      <c r="A497" s="61" t="str">
        <f>IF(ISBLANK(B497),"",_xlfn.ISOWEEKNUM('Journal de travail'!$B497))</f>
        <v/>
      </c>
      <c r="B497" s="32"/>
      <c r="C497" s="33"/>
      <c r="D497" s="34"/>
      <c r="E497" s="35"/>
      <c r="F497" s="38"/>
      <c r="G497" s="38"/>
      <c r="H497" t="str">
        <f>IF(OR(ISBLANK(B497),B497=""),"",IF(B497=B496,"",INT(((SUMIF(B:B,B497,C:C)*60)+SUMIF(B:B,B497,D:D))/60)&amp;" h "&amp;TEXT(MOD((SUMIF(B:B,B497,C:C)*60)+SUMIF(B:B,B497,D:D),60),"00")&amp;" min"))</f>
        <v/>
      </c>
    </row>
    <row r="498" ht="17.18">
      <c r="A498" s="60" t="str">
        <f>IF(ISBLANK(B498),"",_xlfn.ISOWEEKNUM('Journal de travail'!$B498))</f>
        <v/>
      </c>
      <c r="B498" s="28"/>
      <c r="C498" s="29"/>
      <c r="D498" s="30"/>
      <c r="E498" s="31"/>
      <c r="F498" s="37"/>
      <c r="G498" s="37"/>
      <c r="H498" t="str">
        <f>IF(OR(ISBLANK(B498),B498=""),"",IF(B498=B497,"",INT(((SUMIF(B:B,B498,C:C)*60)+SUMIF(B:B,B498,D:D))/60)&amp;" h "&amp;TEXT(MOD((SUMIF(B:B,B498,C:C)*60)+SUMIF(B:B,B498,D:D),60),"00")&amp;" min"))</f>
        <v/>
      </c>
    </row>
    <row r="499" ht="17.18">
      <c r="A499" s="61" t="str">
        <f>IF(ISBLANK(B499),"",_xlfn.ISOWEEKNUM('Journal de travail'!$B499))</f>
        <v/>
      </c>
      <c r="B499" s="32"/>
      <c r="C499" s="33"/>
      <c r="D499" s="34"/>
      <c r="E499" s="35"/>
      <c r="F499" s="38"/>
      <c r="G499" s="38"/>
      <c r="H499" t="str">
        <f>IF(OR(ISBLANK(B499),B499=""),"",IF(B499=B498,"",INT(((SUMIF(B:B,B499,C:C)*60)+SUMIF(B:B,B499,D:D))/60)&amp;" h "&amp;TEXT(MOD((SUMIF(B:B,B499,C:C)*60)+SUMIF(B:B,B499,D:D),60),"00")&amp;" min"))</f>
        <v/>
      </c>
    </row>
    <row r="500" ht="17.18">
      <c r="A500" s="60" t="str">
        <f>IF(ISBLANK(B500),"",_xlfn.ISOWEEKNUM('Journal de travail'!$B500))</f>
        <v/>
      </c>
      <c r="B500" s="28"/>
      <c r="C500" s="29"/>
      <c r="D500" s="30"/>
      <c r="E500" s="31"/>
      <c r="F500" s="37"/>
      <c r="G500" s="37"/>
      <c r="H500" t="str">
        <f>IF(OR(ISBLANK(B500),B500=""),"",IF(B500=B499,"",INT(((SUMIF(B:B,B500,C:C)*60)+SUMIF(B:B,B500,D:D))/60)&amp;" h "&amp;TEXT(MOD((SUMIF(B:B,B500,C:C)*60)+SUMIF(B:B,B500,D:D),60),"00")&amp;" min"))</f>
        <v/>
      </c>
    </row>
    <row r="501" ht="17.18">
      <c r="A501" s="61" t="str">
        <f>IF(ISBLANK(B501),"",_xlfn.ISOWEEKNUM('Journal de travail'!$B501))</f>
        <v/>
      </c>
      <c r="B501" s="32"/>
      <c r="C501" s="33"/>
      <c r="D501" s="34"/>
      <c r="E501" s="35"/>
      <c r="F501" s="38"/>
      <c r="G501" s="38"/>
      <c r="H501" t="str">
        <f>IF(OR(ISBLANK(B501),B501=""),"",IF(B501=B500,"",INT(((SUMIF(B:B,B501,C:C)*60)+SUMIF(B:B,B501,D:D))/60)&amp;" h "&amp;TEXT(MOD((SUMIF(B:B,B501,C:C)*60)+SUMIF(B:B,B501,D:D),60),"00")&amp;" min"))</f>
        <v/>
      </c>
    </row>
    <row r="502" ht="17.18">
      <c r="A502" s="60" t="str">
        <f>IF(ISBLANK(B502),"",_xlfn.ISOWEEKNUM('Journal de travail'!$B502))</f>
        <v/>
      </c>
      <c r="B502" s="28"/>
      <c r="C502" s="29"/>
      <c r="D502" s="30"/>
      <c r="E502" s="31"/>
      <c r="F502" s="37"/>
      <c r="G502" s="37"/>
      <c r="H502" t="str">
        <f>IF(OR(ISBLANK(B502),B502=""),"",IF(B502=B501,"",INT(((SUMIF(B:B,B502,C:C)*60)+SUMIF(B:B,B502,D:D))/60)&amp;" h "&amp;TEXT(MOD((SUMIF(B:B,B502,C:C)*60)+SUMIF(B:B,B502,D:D),60),"00")&amp;" min"))</f>
        <v/>
      </c>
    </row>
    <row r="503" ht="17.18">
      <c r="A503" s="61" t="str">
        <f>IF(ISBLANK(B503),"",_xlfn.ISOWEEKNUM('Journal de travail'!$B503))</f>
        <v/>
      </c>
      <c r="B503" s="32"/>
      <c r="C503" s="33"/>
      <c r="D503" s="34"/>
      <c r="E503" s="35"/>
      <c r="F503" s="38"/>
      <c r="G503" s="38"/>
      <c r="H503" t="str">
        <f>IF(OR(ISBLANK(B503),B503=""),"",IF(B503=B502,"",INT(((SUMIF(B:B,B503,C:C)*60)+SUMIF(B:B,B503,D:D))/60)&amp;" h "&amp;TEXT(MOD((SUMIF(B:B,B503,C:C)*60)+SUMIF(B:B,B503,D:D),60),"00")&amp;" min"))</f>
        <v/>
      </c>
    </row>
    <row r="504" ht="17.18">
      <c r="A504" s="60" t="str">
        <f>IF(ISBLANK(B504),"",_xlfn.ISOWEEKNUM('Journal de travail'!$B504))</f>
        <v/>
      </c>
      <c r="B504" s="28"/>
      <c r="C504" s="29"/>
      <c r="D504" s="30"/>
      <c r="E504" s="31"/>
      <c r="F504" s="37"/>
      <c r="G504" s="37"/>
      <c r="H504" t="str">
        <f>IF(OR(ISBLANK(B504),B504=""),"",IF(B504=B503,"",INT(((SUMIF(B:B,B504,C:C)*60)+SUMIF(B:B,B504,D:D))/60)&amp;" h "&amp;TEXT(MOD((SUMIF(B:B,B504,C:C)*60)+SUMIF(B:B,B504,D:D),60),"00")&amp;" min"))</f>
        <v/>
      </c>
    </row>
    <row r="505" ht="17.18">
      <c r="A505" s="61" t="str">
        <f>IF(ISBLANK(B505),"",_xlfn.ISOWEEKNUM('Journal de travail'!$B505))</f>
        <v/>
      </c>
      <c r="B505" s="32"/>
      <c r="C505" s="33"/>
      <c r="D505" s="34"/>
      <c r="E505" s="35"/>
      <c r="F505" s="38"/>
      <c r="G505" s="38"/>
      <c r="H505" t="str">
        <f>IF(OR(ISBLANK(B505),B505=""),"",IF(B505=B504,"",INT(((SUMIF(B:B,B505,C:C)*60)+SUMIF(B:B,B505,D:D))/60)&amp;" h "&amp;TEXT(MOD((SUMIF(B:B,B505,C:C)*60)+SUMIF(B:B,B505,D:D),60),"00")&amp;" min"))</f>
        <v/>
      </c>
    </row>
    <row r="506" ht="17.18">
      <c r="A506" s="60" t="str">
        <f>IF(ISBLANK(B506),"",_xlfn.ISOWEEKNUM('Journal de travail'!$B506))</f>
        <v/>
      </c>
      <c r="B506" s="28"/>
      <c r="C506" s="29"/>
      <c r="D506" s="30"/>
      <c r="E506" s="31"/>
      <c r="F506" s="37"/>
      <c r="G506" s="37"/>
      <c r="H506" t="str">
        <f>IF(OR(ISBLANK(B506),B506=""),"",IF(B506=B505,"",INT(((SUMIF(B:B,B506,C:C)*60)+SUMIF(B:B,B506,D:D))/60)&amp;" h "&amp;TEXT(MOD((SUMIF(B:B,B506,C:C)*60)+SUMIF(B:B,B506,D:D),60),"00")&amp;" min"))</f>
        <v/>
      </c>
    </row>
    <row r="507" ht="17.18">
      <c r="A507" s="61" t="str">
        <f>IF(ISBLANK(B507),"",_xlfn.ISOWEEKNUM('Journal de travail'!$B507))</f>
        <v/>
      </c>
      <c r="B507" s="32"/>
      <c r="C507" s="33"/>
      <c r="D507" s="34"/>
      <c r="E507" s="35"/>
      <c r="F507" s="38"/>
      <c r="G507" s="38"/>
      <c r="H507" t="str">
        <f>IF(OR(ISBLANK(B507),B507=""),"",IF(B507=B506,"",INT(((SUMIF(B:B,B507,C:C)*60)+SUMIF(B:B,B507,D:D))/60)&amp;" h "&amp;TEXT(MOD((SUMIF(B:B,B507,C:C)*60)+SUMIF(B:B,B507,D:D),60),"00")&amp;" min"))</f>
        <v/>
      </c>
    </row>
    <row r="508" ht="17.18">
      <c r="A508" s="60" t="str">
        <f>IF(ISBLANK(B508),"",_xlfn.ISOWEEKNUM('Journal de travail'!$B508))</f>
        <v/>
      </c>
      <c r="B508" s="28"/>
      <c r="C508" s="29"/>
      <c r="D508" s="30"/>
      <c r="E508" s="31"/>
      <c r="F508" s="37"/>
      <c r="G508" s="37"/>
      <c r="H508" t="str">
        <f>IF(OR(ISBLANK(B508),B508=""),"",IF(B508=B507,"",INT(((SUMIF(B:B,B508,C:C)*60)+SUMIF(B:B,B508,D:D))/60)&amp;" h "&amp;TEXT(MOD((SUMIF(B:B,B508,C:C)*60)+SUMIF(B:B,B508,D:D),60),"00")&amp;" min"))</f>
        <v/>
      </c>
    </row>
    <row r="509" ht="17.18">
      <c r="A509" s="61" t="str">
        <f>IF(ISBLANK(B509),"",_xlfn.ISOWEEKNUM('Journal de travail'!$B509))</f>
        <v/>
      </c>
      <c r="B509" s="32"/>
      <c r="C509" s="33"/>
      <c r="D509" s="34"/>
      <c r="E509" s="35"/>
      <c r="F509" s="38"/>
      <c r="G509" s="38"/>
      <c r="H509" t="str">
        <f>IF(OR(ISBLANK(B509),B509=""),"",IF(B509=B508,"",INT(((SUMIF(B:B,B509,C:C)*60)+SUMIF(B:B,B509,D:D))/60)&amp;" h "&amp;TEXT(MOD((SUMIF(B:B,B509,C:C)*60)+SUMIF(B:B,B509,D:D),60),"00")&amp;" min"))</f>
        <v/>
      </c>
    </row>
    <row r="510" ht="17.18">
      <c r="A510" s="60" t="str">
        <f>IF(ISBLANK(B510),"",_xlfn.ISOWEEKNUM('Journal de travail'!$B510))</f>
        <v/>
      </c>
      <c r="B510" s="28"/>
      <c r="C510" s="29"/>
      <c r="D510" s="30"/>
      <c r="E510" s="31"/>
      <c r="F510" s="37"/>
      <c r="G510" s="37"/>
      <c r="H510" t="str">
        <f>IF(OR(ISBLANK(B510),B510=""),"",IF(B510=B509,"",INT(((SUMIF(B:B,B510,C:C)*60)+SUMIF(B:B,B510,D:D))/60)&amp;" h "&amp;TEXT(MOD((SUMIF(B:B,B510,C:C)*60)+SUMIF(B:B,B510,D:D),60),"00")&amp;" min"))</f>
        <v/>
      </c>
    </row>
    <row r="511" ht="17.18">
      <c r="A511" s="61" t="str">
        <f>IF(ISBLANK(B511),"",_xlfn.ISOWEEKNUM('Journal de travail'!$B511))</f>
        <v/>
      </c>
      <c r="B511" s="32"/>
      <c r="C511" s="33"/>
      <c r="D511" s="34"/>
      <c r="E511" s="35"/>
      <c r="F511" s="38"/>
      <c r="G511" s="38"/>
      <c r="H511" t="str">
        <f>IF(OR(ISBLANK(B511),B511=""),"",IF(B511=B510,"",INT(((SUMIF(B:B,B511,C:C)*60)+SUMIF(B:B,B511,D:D))/60)&amp;" h "&amp;TEXT(MOD((SUMIF(B:B,B511,C:C)*60)+SUMIF(B:B,B511,D:D),60),"00")&amp;" min"))</f>
        <v/>
      </c>
    </row>
    <row r="512" ht="17.18">
      <c r="A512" s="60" t="str">
        <f>IF(ISBLANK(B512),"",_xlfn.ISOWEEKNUM('Journal de travail'!$B512))</f>
        <v/>
      </c>
      <c r="B512" s="28"/>
      <c r="C512" s="29"/>
      <c r="D512" s="30"/>
      <c r="E512" s="31"/>
      <c r="F512" s="37"/>
      <c r="G512" s="37"/>
      <c r="H512" t="str">
        <f>IF(OR(ISBLANK(B512),B512=""),"",IF(B512=B511,"",INT(((SUMIF(B:B,B512,C:C)*60)+SUMIF(B:B,B512,D:D))/60)&amp;" h "&amp;TEXT(MOD((SUMIF(B:B,B512,C:C)*60)+SUMIF(B:B,B512,D:D),60),"00")&amp;" min"))</f>
        <v/>
      </c>
    </row>
    <row r="513" ht="17.18">
      <c r="A513" s="61" t="str">
        <f>IF(ISBLANK(B513),"",_xlfn.ISOWEEKNUM('Journal de travail'!$B513))</f>
        <v/>
      </c>
      <c r="B513" s="32"/>
      <c r="C513" s="33"/>
      <c r="D513" s="34"/>
      <c r="E513" s="35"/>
      <c r="F513" s="38"/>
      <c r="G513" s="38"/>
      <c r="H513" t="str">
        <f>IF(OR(ISBLANK(B513),B513=""),"",IF(B513=B512,"",INT(((SUMIF(B:B,B513,C:C)*60)+SUMIF(B:B,B513,D:D))/60)&amp;" h "&amp;TEXT(MOD((SUMIF(B:B,B513,C:C)*60)+SUMIF(B:B,B513,D:D),60),"00")&amp;" min"))</f>
        <v/>
      </c>
    </row>
    <row r="514" ht="17.18">
      <c r="A514" s="60" t="str">
        <f>IF(ISBLANK(B514),"",_xlfn.ISOWEEKNUM('Journal de travail'!$B514))</f>
        <v/>
      </c>
      <c r="B514" s="28"/>
      <c r="C514" s="29"/>
      <c r="D514" s="30"/>
      <c r="E514" s="31"/>
      <c r="F514" s="37"/>
      <c r="G514" s="37"/>
      <c r="H514" t="str">
        <f>IF(OR(ISBLANK(B514),B514=""),"",IF(B514=B513,"",INT(((SUMIF(B:B,B514,C:C)*60)+SUMIF(B:B,B514,D:D))/60)&amp;" h "&amp;TEXT(MOD((SUMIF(B:B,B514,C:C)*60)+SUMIF(B:B,B514,D:D),60),"00")&amp;" min"))</f>
        <v/>
      </c>
    </row>
    <row r="515" ht="17.18">
      <c r="A515" s="61" t="str">
        <f>IF(ISBLANK(B515),"",_xlfn.ISOWEEKNUM('Journal de travail'!$B515))</f>
        <v/>
      </c>
      <c r="B515" s="32"/>
      <c r="C515" s="33"/>
      <c r="D515" s="34"/>
      <c r="E515" s="35"/>
      <c r="F515" s="38"/>
      <c r="G515" s="38"/>
      <c r="H515" t="str">
        <f>IF(OR(ISBLANK(B515),B515=""),"",IF(B515=B514,"",INT(((SUMIF(B:B,B515,C:C)*60)+SUMIF(B:B,B515,D:D))/60)&amp;" h "&amp;TEXT(MOD((SUMIF(B:B,B515,C:C)*60)+SUMIF(B:B,B515,D:D),60),"00")&amp;" min"))</f>
        <v/>
      </c>
    </row>
    <row r="516" ht="17.18">
      <c r="A516" s="60" t="str">
        <f>IF(ISBLANK(B516),"",_xlfn.ISOWEEKNUM('Journal de travail'!$B516))</f>
        <v/>
      </c>
      <c r="B516" s="28"/>
      <c r="C516" s="29"/>
      <c r="D516" s="30"/>
      <c r="E516" s="31"/>
      <c r="F516" s="37"/>
      <c r="G516" s="37"/>
      <c r="H516" t="str">
        <f>IF(OR(ISBLANK(B516),B516=""),"",IF(B516=B515,"",INT(((SUMIF(B:B,B516,C:C)*60)+SUMIF(B:B,B516,D:D))/60)&amp;" h "&amp;TEXT(MOD((SUMIF(B:B,B516,C:C)*60)+SUMIF(B:B,B516,D:D),60),"00")&amp;" min"))</f>
        <v/>
      </c>
    </row>
    <row r="517" ht="17.18">
      <c r="A517" s="61" t="str">
        <f>IF(ISBLANK(B517),"",_xlfn.ISOWEEKNUM('Journal de travail'!$B517))</f>
        <v/>
      </c>
      <c r="B517" s="32"/>
      <c r="C517" s="33"/>
      <c r="D517" s="34"/>
      <c r="E517" s="35"/>
      <c r="F517" s="38"/>
      <c r="G517" s="38"/>
      <c r="H517" t="str">
        <f>IF(OR(ISBLANK(B517),B517=""),"",IF(B517=B516,"",INT(((SUMIF(B:B,B517,C:C)*60)+SUMIF(B:B,B517,D:D))/60)&amp;" h "&amp;TEXT(MOD((SUMIF(B:B,B517,C:C)*60)+SUMIF(B:B,B517,D:D),60),"00")&amp;" min"))</f>
        <v/>
      </c>
    </row>
    <row r="518" ht="17.18">
      <c r="A518" s="60" t="str">
        <f>IF(ISBLANK(B518),"",_xlfn.ISOWEEKNUM('Journal de travail'!$B518))</f>
        <v/>
      </c>
      <c r="B518" s="28"/>
      <c r="C518" s="29"/>
      <c r="D518" s="30"/>
      <c r="E518" s="31"/>
      <c r="F518" s="37"/>
      <c r="G518" s="37"/>
      <c r="H518" t="str">
        <f>IF(OR(ISBLANK(B518),B518=""),"",IF(B518=B517,"",INT(((SUMIF(B:B,B518,C:C)*60)+SUMIF(B:B,B518,D:D))/60)&amp;" h "&amp;TEXT(MOD((SUMIF(B:B,B518,C:C)*60)+SUMIF(B:B,B518,D:D),60),"00")&amp;" min"))</f>
        <v/>
      </c>
    </row>
    <row r="519" ht="17.18">
      <c r="A519" s="61" t="str">
        <f>IF(ISBLANK(B519),"",_xlfn.ISOWEEKNUM('Journal de travail'!$B519))</f>
        <v/>
      </c>
      <c r="B519" s="32"/>
      <c r="C519" s="33"/>
      <c r="D519" s="34"/>
      <c r="E519" s="35"/>
      <c r="F519" s="38"/>
      <c r="G519" s="38"/>
      <c r="H519" t="str">
        <f>IF(OR(ISBLANK(B519),B519=""),"",IF(B519=B518,"",INT(((SUMIF(B:B,B519,C:C)*60)+SUMIF(B:B,B519,D:D))/60)&amp;" h "&amp;TEXT(MOD((SUMIF(B:B,B519,C:C)*60)+SUMIF(B:B,B519,D:D),60),"00")&amp;" min"))</f>
        <v/>
      </c>
    </row>
    <row r="520" ht="17.18">
      <c r="A520" s="60" t="str">
        <f>IF(ISBLANK(B520),"",_xlfn.ISOWEEKNUM('Journal de travail'!$B520))</f>
        <v/>
      </c>
      <c r="B520" s="28"/>
      <c r="C520" s="29"/>
      <c r="D520" s="30"/>
      <c r="E520" s="31"/>
      <c r="F520" s="37"/>
      <c r="G520" s="37"/>
      <c r="H520" t="str">
        <f>IF(OR(ISBLANK(B520),B520=""),"",IF(B520=B519,"",INT(((SUMIF(B:B,B520,C:C)*60)+SUMIF(B:B,B520,D:D))/60)&amp;" h "&amp;TEXT(MOD((SUMIF(B:B,B520,C:C)*60)+SUMIF(B:B,B520,D:D),60),"00")&amp;" min"))</f>
        <v/>
      </c>
    </row>
    <row r="521" ht="17.18">
      <c r="A521" s="61" t="str">
        <f>IF(ISBLANK(B521),"",_xlfn.ISOWEEKNUM('Journal de travail'!$B521))</f>
        <v/>
      </c>
      <c r="B521" s="32"/>
      <c r="C521" s="33"/>
      <c r="D521" s="34"/>
      <c r="E521" s="35"/>
      <c r="F521" s="38"/>
      <c r="G521" s="38"/>
      <c r="H521" t="str">
        <f>IF(OR(ISBLANK(B521),B521=""),"",IF(B521=B520,"",INT(((SUMIF(B:B,B521,C:C)*60)+SUMIF(B:B,B521,D:D))/60)&amp;" h "&amp;TEXT(MOD((SUMIF(B:B,B521,C:C)*60)+SUMIF(B:B,B521,D:D),60),"00")&amp;" min"))</f>
        <v/>
      </c>
    </row>
    <row r="522" ht="17.18">
      <c r="A522" s="60" t="str">
        <f>IF(ISBLANK(B522),"",_xlfn.ISOWEEKNUM('Journal de travail'!$B522))</f>
        <v/>
      </c>
      <c r="B522" s="28"/>
      <c r="C522" s="29"/>
      <c r="D522" s="30"/>
      <c r="E522" s="31"/>
      <c r="F522" s="37"/>
      <c r="G522" s="37"/>
      <c r="H522" t="str">
        <f>IF(OR(ISBLANK(B522),B522=""),"",IF(B522=B521,"",INT(((SUMIF(B:B,B522,C:C)*60)+SUMIF(B:B,B522,D:D))/60)&amp;" h "&amp;TEXT(MOD((SUMIF(B:B,B522,C:C)*60)+SUMIF(B:B,B522,D:D),60),"00")&amp;" min"))</f>
        <v/>
      </c>
    </row>
    <row r="523" ht="17.18">
      <c r="A523" s="61" t="str">
        <f>IF(ISBLANK(B523),"",_xlfn.ISOWEEKNUM('Journal de travail'!$B523))</f>
        <v/>
      </c>
      <c r="B523" s="32"/>
      <c r="C523" s="33"/>
      <c r="D523" s="34"/>
      <c r="E523" s="35"/>
      <c r="F523" s="38"/>
      <c r="G523" s="38"/>
      <c r="H523" t="str">
        <f>IF(OR(ISBLANK(B523),B523=""),"",IF(B523=B522,"",INT(((SUMIF(B:B,B523,C:C)*60)+SUMIF(B:B,B523,D:D))/60)&amp;" h "&amp;TEXT(MOD((SUMIF(B:B,B523,C:C)*60)+SUMIF(B:B,B523,D:D),60),"00")&amp;" min"))</f>
        <v/>
      </c>
    </row>
    <row r="524" ht="17.18">
      <c r="A524" s="60" t="str">
        <f>IF(ISBLANK(B524),"",_xlfn.ISOWEEKNUM('Journal de travail'!$B524))</f>
        <v/>
      </c>
      <c r="B524" s="28"/>
      <c r="C524" s="29"/>
      <c r="D524" s="30"/>
      <c r="E524" s="31"/>
      <c r="F524" s="37"/>
      <c r="G524" s="37"/>
      <c r="H524" t="str">
        <f>IF(OR(ISBLANK(B524),B524=""),"",IF(B524=B523,"",INT(((SUMIF(B:B,B524,C:C)*60)+SUMIF(B:B,B524,D:D))/60)&amp;" h "&amp;TEXT(MOD((SUMIF(B:B,B524,C:C)*60)+SUMIF(B:B,B524,D:D),60),"00")&amp;" min"))</f>
        <v/>
      </c>
    </row>
    <row r="525" ht="17.18">
      <c r="A525" s="61" t="str">
        <f>IF(ISBLANK(B525),"",_xlfn.ISOWEEKNUM('Journal de travail'!$B525))</f>
        <v/>
      </c>
      <c r="B525" s="32"/>
      <c r="C525" s="33"/>
      <c r="D525" s="34"/>
      <c r="E525" s="35"/>
      <c r="F525" s="38"/>
      <c r="G525" s="38"/>
      <c r="H525" t="str">
        <f>IF(OR(ISBLANK(B525),B525=""),"",IF(B525=B524,"",INT(((SUMIF(B:B,B525,C:C)*60)+SUMIF(B:B,B525,D:D))/60)&amp;" h "&amp;TEXT(MOD((SUMIF(B:B,B525,C:C)*60)+SUMIF(B:B,B525,D:D),60),"00")&amp;" min"))</f>
        <v/>
      </c>
    </row>
    <row r="526" ht="17.18">
      <c r="A526" s="60" t="str">
        <f>IF(ISBLANK(B526),"",_xlfn.ISOWEEKNUM('Journal de travail'!$B526))</f>
        <v/>
      </c>
      <c r="B526" s="28"/>
      <c r="C526" s="29"/>
      <c r="D526" s="30"/>
      <c r="E526" s="31"/>
      <c r="F526" s="37"/>
      <c r="G526" s="37"/>
      <c r="H526" t="str">
        <f>IF(OR(ISBLANK(B526),B526=""),"",IF(B526=B525,"",INT(((SUMIF(B:B,B526,C:C)*60)+SUMIF(B:B,B526,D:D))/60)&amp;" h "&amp;TEXT(MOD((SUMIF(B:B,B526,C:C)*60)+SUMIF(B:B,B526,D:D),60),"00")&amp;" min"))</f>
        <v/>
      </c>
    </row>
    <row r="527" ht="17.18">
      <c r="A527" s="61" t="str">
        <f>IF(ISBLANK(B527),"",_xlfn.ISOWEEKNUM('Journal de travail'!$B527))</f>
        <v/>
      </c>
      <c r="B527" s="32"/>
      <c r="C527" s="33"/>
      <c r="D527" s="34"/>
      <c r="E527" s="35"/>
      <c r="F527" s="38"/>
      <c r="G527" s="38"/>
      <c r="H527" t="str">
        <f>IF(OR(ISBLANK(B527),B527=""),"",IF(B527=B526,"",INT(((SUMIF(B:B,B527,C:C)*60)+SUMIF(B:B,B527,D:D))/60)&amp;" h "&amp;TEXT(MOD((SUMIF(B:B,B527,C:C)*60)+SUMIF(B:B,B527,D:D),60),"00")&amp;" min"))</f>
        <v/>
      </c>
    </row>
    <row r="528" ht="17.18">
      <c r="A528" s="60" t="str">
        <f>IF(ISBLANK(B528),"",_xlfn.ISOWEEKNUM('Journal de travail'!$B528))</f>
        <v/>
      </c>
      <c r="B528" s="28"/>
      <c r="C528" s="29"/>
      <c r="D528" s="30"/>
      <c r="E528" s="31"/>
      <c r="F528" s="37"/>
      <c r="G528" s="37"/>
      <c r="H528" t="str">
        <f>IF(OR(ISBLANK(B528),B528=""),"",IF(B528=B527,"",INT(((SUMIF(B:B,B528,C:C)*60)+SUMIF(B:B,B528,D:D))/60)&amp;" h "&amp;TEXT(MOD((SUMIF(B:B,B528,C:C)*60)+SUMIF(B:B,B528,D:D),60),"00")&amp;" min"))</f>
        <v/>
      </c>
    </row>
    <row r="529" ht="17.18">
      <c r="A529" s="61" t="str">
        <f>IF(ISBLANK(B529),"",_xlfn.ISOWEEKNUM('Journal de travail'!$B529))</f>
        <v/>
      </c>
      <c r="B529" s="32"/>
      <c r="C529" s="33"/>
      <c r="D529" s="34"/>
      <c r="E529" s="35"/>
      <c r="F529" s="38"/>
      <c r="G529" s="38"/>
      <c r="H529" t="str">
        <f>IF(OR(ISBLANK(B529),B529=""),"",IF(B529=B528,"",INT(((SUMIF(B:B,B529,C:C)*60)+SUMIF(B:B,B529,D:D))/60)&amp;" h "&amp;TEXT(MOD((SUMIF(B:B,B529,C:C)*60)+SUMIF(B:B,B529,D:D),60),"00")&amp;" min"))</f>
        <v/>
      </c>
    </row>
    <row r="530" ht="17.18">
      <c r="A530" s="60" t="str">
        <f>IF(ISBLANK(B530),"",_xlfn.ISOWEEKNUM('Journal de travail'!$B530))</f>
        <v/>
      </c>
      <c r="B530" s="28"/>
      <c r="C530" s="29"/>
      <c r="D530" s="30"/>
      <c r="E530" s="31"/>
      <c r="F530" s="37"/>
      <c r="G530" s="37"/>
      <c r="H530" t="str">
        <f>IF(OR(ISBLANK(B530),B530=""),"",IF(B530=B529,"",INT(((SUMIF(B:B,B530,C:C)*60)+SUMIF(B:B,B530,D:D))/60)&amp;" h "&amp;TEXT(MOD((SUMIF(B:B,B530,C:C)*60)+SUMIF(B:B,B530,D:D),60),"00")&amp;" min"))</f>
        <v/>
      </c>
    </row>
    <row r="531" ht="17.18">
      <c r="A531" s="61" t="str">
        <f>IF(ISBLANK(B531),"",_xlfn.ISOWEEKNUM('Journal de travail'!$B531))</f>
        <v/>
      </c>
      <c r="B531" s="32"/>
      <c r="C531" s="33"/>
      <c r="D531" s="34"/>
      <c r="E531" s="35"/>
      <c r="F531" s="38"/>
      <c r="G531" s="38"/>
      <c r="H531" t="str">
        <f>IF(OR(ISBLANK(B531),B531=""),"",IF(B531=B530,"",INT(((SUMIF(B:B,B531,C:C)*60)+SUMIF(B:B,B531,D:D))/60)&amp;" h "&amp;TEXT(MOD((SUMIF(B:B,B531,C:C)*60)+SUMIF(B:B,B531,D:D),60),"00")&amp;" min"))</f>
        <v/>
      </c>
    </row>
    <row r="532" ht="17.18">
      <c r="A532" s="60" t="str">
        <f>IF(ISBLANK(B532),"",_xlfn.ISOWEEKNUM('Journal de travail'!$B532))</f>
        <v/>
      </c>
      <c r="B532" s="28"/>
      <c r="C532" s="29"/>
      <c r="D532" s="30"/>
      <c r="E532" s="31"/>
      <c r="F532" s="37"/>
      <c r="G532" s="37"/>
      <c r="H532" t="str">
        <f>IF(OR(ISBLANK(B532),B532=""),"",IF(B532=B531,"",INT(((SUMIF(B:B,B532,C:C)*60)+SUMIF(B:B,B532,D:D))/60)&amp;" h "&amp;TEXT(MOD((SUMIF(B:B,B532,C:C)*60)+SUMIF(B:B,B532,D:D),60),"00")&amp;" min"))</f>
        <v/>
      </c>
    </row>
  </sheetData>
  <mergeCells count="4">
    <mergeCell ref="C2:E2"/>
    <mergeCell ref="C5:D5"/>
    <mergeCell ref="A2:B2"/>
    <mergeCell ref="A3:B3"/>
  </mergeCells>
  <conditionalFormatting sqref="E7:E532">
    <cfRule type="expression" dxfId="0" priority="1">
      <formula>$E7="Absent"</formula>
    </cfRule>
  </conditionalFormatting>
  <conditionalFormatting sqref="E7:E532">
    <cfRule type="expression" dxfId="1" priority="2">
      <formula>$E7="Autre"</formula>
    </cfRule>
  </conditionalFormatting>
  <conditionalFormatting sqref="E7:E532">
    <cfRule type="expression" dxfId="2" priority="3" stopIfTrue="1">
      <formula>$E7="Design"</formula>
    </cfRule>
  </conditionalFormatting>
  <conditionalFormatting sqref="E7:E532">
    <cfRule type="expression" dxfId="3" priority="4" stopIfTrue="1">
      <formula>$E7="Présentation"</formula>
    </cfRule>
  </conditionalFormatting>
  <conditionalFormatting sqref="E7:E532">
    <cfRule type="expression" dxfId="4" priority="5" stopIfTrue="1">
      <formula>$E7="Meeting"</formula>
    </cfRule>
  </conditionalFormatting>
  <conditionalFormatting sqref="E7:E532">
    <cfRule type="expression" dxfId="5" priority="6" stopIfTrue="1">
      <formula>$E7="Documentation"</formula>
    </cfRule>
  </conditionalFormatting>
  <conditionalFormatting sqref="E7:E532">
    <cfRule type="expression" dxfId="6" priority="7" stopIfTrue="1">
      <formula>$E7="Test"</formula>
    </cfRule>
  </conditionalFormatting>
  <conditionalFormatting sqref="E7:E532">
    <cfRule type="expression" dxfId="7" priority="8" stopIfTrue="1">
      <formula>$E7="Analyse"</formula>
    </cfRule>
  </conditionalFormatting>
  <conditionalFormatting sqref="E7:E532">
    <cfRule type="expression" dxfId="8" priority="9" stopIfTrue="1">
      <formula>$E7="Implémentation"</formula>
    </cfRule>
  </conditionalFormatting>
  <dataValidations count="6">
    <dataValidation type="list" allowBlank="1" showInputMessage="1" showErrorMessage="1" sqref="C7:C53 C55:C532">
      <formula1>$N$7:$N$15</formula1>
    </dataValidation>
    <dataValidation type="list" allowBlank="1" showInputMessage="1" showErrorMessage="1" sqref="D7:D53 D55:D532">
      <formula1>$O$7:$O$19</formula1>
    </dataValidation>
    <dataValidation type="list" allowBlank="1" showInputMessage="1" showErrorMessage="1" sqref="E7:E53 E55:E532">
      <formula1>$M$7:$M$12</formula1>
    </dataValidation>
    <dataValidation type="list" allowBlank="1" showInputMessage="1" showErrorMessage="1" sqref="E54">
      <formula1>$M$7:$M$12</formula1>
    </dataValidation>
    <dataValidation type="list" allowBlank="1" showInputMessage="1" showErrorMessage="1" sqref="C54">
      <formula1>$N$7:$N$15</formula1>
    </dataValidation>
    <dataValidation type="list" allowBlank="1" showInputMessage="1" showErrorMessage="1" sqref="D54">
      <formula1>$O$7:$O$19</formula1>
    </dataValidation>
  </dataValidations>
  <pageMargins left="0.699999988079071" right="0.699999988079071" top="0.75" bottom="0.75" header="0.30000001192092896" footer="0.30000001192092896"/>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dimension ref="A2:N13"/>
  <sheetViews>
    <sheetView topLeftCell="D1" workbookViewId="0">
      <selection activeCell="N6" sqref="N6"/>
    </sheetView>
  </sheetViews>
  <sheetFormatPr defaultColWidth="11.00390625" defaultRowHeight="18.75" customHeight="1"/>
  <cols>
    <col min="1" max="3" width="10.8515625" hidden="1" customWidth="1"/>
    <col min="4" max="4" width="10.8515625" customWidth="1"/>
    <col min="5" max="5" width="21.00390625" style="18" customWidth="1"/>
    <col min="6" max="6" width="13.421875" style="39" customWidth="1"/>
    <col min="7" max="7" width="12.00390625" customWidth="1"/>
    <col min="12" max="12" width="22.00390625" customWidth="1"/>
    <col min="13" max="13" width="12.8515625" customWidth="1"/>
    <col min="14" max="14" width="9.421875" customWidth="1"/>
  </cols>
  <sheetData>
    <row r="2" ht="27.27">
      <c r="E2" s="64" t="s">
        <v>92</v>
      </c>
      <c r="F2" s="66">
        <v>90</v>
      </c>
      <c r="G2" s="64" t="s">
        <v>93</v>
      </c>
      <c r="L2" s="17"/>
      <c r="M2" s="42"/>
      <c r="N2" s="17"/>
    </row>
    <row r="3" ht="23.86">
      <c r="L3" s="18"/>
      <c r="M3" s="19"/>
      <c r="N3" s="18"/>
    </row>
    <row r="4" ht="27.27">
      <c r="E4" s="64" t="s">
        <v>94</v>
      </c>
      <c r="L4" s="64" t="s">
        <v>95</v>
      </c>
      <c r="M4" s="39"/>
      <c r="N4" s="18"/>
    </row>
    <row r="5" ht="23.86">
      <c r="A5" t="s">
        <v>96</v>
      </c>
      <c r="B5" t="s">
        <v>97</v>
      </c>
      <c r="C5" s="39" t="s">
        <v>98</v>
      </c>
      <c r="D5" s="40"/>
      <c r="E5" s="43" t="s">
        <v>99</v>
      </c>
      <c r="F5" s="44" t="s">
        <v>100</v>
      </c>
      <c r="G5" s="45" t="s">
        <v>101</v>
      </c>
      <c r="L5" s="46" t="s">
        <v>99</v>
      </c>
      <c r="M5" s="47" t="s">
        <v>100</v>
      </c>
      <c r="N5" s="48" t="s">
        <v>101</v>
      </c>
    </row>
    <row r="6" ht="23.86">
      <c r="A6">
        <f>SUMIF('Journal de travail'!$E$7:$E$532,Plannification!E6,'Journal de travail'!$C$7:$C$532)*60</f>
        <v>60</v>
      </c>
      <c r="B6">
        <f>SUMIF('Journal de travail'!$E$7:$E$532,Plannification!E6,'Journal de travail'!$D$7:$D$532)</f>
        <v>205</v>
      </c>
      <c r="C6">
        <f>SUM(A6:B6)</f>
        <v>265</v>
      </c>
      <c r="E6" s="68" t="str">
        <f>'Journal de travail'!M8</f>
        <v>Analyse</v>
      </c>
      <c r="F6" s="69" t="str">
        <f>QUOTIENT(SUM(A6:B6),60)&amp;" h "&amp;TEXT(MOD(SUM(A6:B6),60),"00")&amp;" min"</f>
        <v>4 h 25 min</v>
      </c>
      <c r="G6" s="70">
        <f>SUM(A6:B6)/$C$11</f>
        <v>0.20703125</v>
      </c>
      <c r="L6" s="49" t="str">
        <f>'Journal de travail'!M8</f>
        <v>Analyse</v>
      </c>
      <c r="M6" s="50" t="str">
        <f>INT($F$2*N6)&amp;" h "&amp;TEXT(ROUND(MOD($F$2*N6,1)*60,0),"00")&amp;" m"</f>
        <v>18 h 00 m</v>
      </c>
      <c r="N6" s="56">
        <v>0.2</v>
      </c>
    </row>
    <row r="7" ht="23.86">
      <c r="A7">
        <f>SUMIF('Journal de travail'!$E$7:$E$532,Plannification!E7,'Journal de travail'!$C$7:$C$532)*60</f>
        <v>300</v>
      </c>
      <c r="B7">
        <f>SUMIF('Journal de travail'!$E$7:$E$532,Plannification!E7,'Journal de travail'!$D$7:$D$532)</f>
        <v>615</v>
      </c>
      <c r="C7">
        <f>SUM(A7:B7)</f>
        <v>915</v>
      </c>
      <c r="E7" s="71" t="str">
        <f>'Journal de travail'!M9</f>
        <v>Implémentation</v>
      </c>
      <c r="F7" s="72" t="str">
        <f>QUOTIENT(SUM(A7:B7),60)&amp;" h "&amp;TEXT(MOD(SUM(A7:B7),60),"00")&amp;" min"</f>
        <v>15 h 15 min</v>
      </c>
      <c r="G7" s="73">
        <f>SUM(A7:B7)/$C$11</f>
        <v>0.71484375</v>
      </c>
      <c r="L7" s="51" t="str">
        <f>'Journal de travail'!M9</f>
        <v>Implémentation</v>
      </c>
      <c r="M7" s="50" t="str">
        <f>INT($F$2*N7)&amp;" h "&amp;TEXT(ROUND(MOD($F$2*N7,1)*60,0),"00")&amp;" m"</f>
        <v>31 h 30 m</v>
      </c>
      <c r="N7" s="57">
        <v>0.35</v>
      </c>
    </row>
    <row r="8" ht="23.86">
      <c r="A8">
        <f>SUMIF('Journal de travail'!$E$7:$E$532,Plannification!E8,'Journal de travail'!$C$7:$C$532)*60</f>
        <v>0</v>
      </c>
      <c r="B8">
        <f>SUMIF('Journal de travail'!$E$7:$E$532,Plannification!E8,'Journal de travail'!$D$7:$D$532)</f>
        <v>0</v>
      </c>
      <c r="C8">
        <f>SUM(A8:B8)</f>
        <v>0</v>
      </c>
      <c r="E8" s="74" t="str">
        <f>'Journal de travail'!M10</f>
        <v>Test</v>
      </c>
      <c r="F8" s="69" t="str">
        <f>QUOTIENT(SUM(A8:B8),60)&amp;" h "&amp;TEXT(MOD(SUM(A8:B8),60),"00")&amp;" min"</f>
        <v>0 h 00 min</v>
      </c>
      <c r="G8" s="70">
        <f>SUM(A8:B8)/$C$11</f>
        <v>0</v>
      </c>
      <c r="L8" s="52" t="str">
        <f>'Journal de travail'!M10</f>
        <v>Test</v>
      </c>
      <c r="M8" s="50" t="str">
        <f>INT($F$2*N8)&amp;" h "&amp;TEXT(ROUND(MOD($F$2*N8,1)*60,0),"00")&amp;" m"</f>
        <v>4 h 30 m</v>
      </c>
      <c r="N8" s="56">
        <v>0.05</v>
      </c>
    </row>
    <row r="9" ht="23.86">
      <c r="A9">
        <f>SUMIF('Journal de travail'!$E$7:$E$532,Plannification!E9,'Journal de travail'!$C$7:$C$532)*60</f>
        <v>0</v>
      </c>
      <c r="B9">
        <f>SUMIF('Journal de travail'!$E$7:$E$532,Plannification!E9,'Journal de travail'!$D$7:$D$532)</f>
        <v>100</v>
      </c>
      <c r="C9">
        <f>SUM(A9:B9)</f>
        <v>100</v>
      </c>
      <c r="E9" s="75" t="str">
        <f>'Journal de travail'!M11</f>
        <v>Documentation</v>
      </c>
      <c r="F9" s="72" t="str">
        <f>QUOTIENT(SUM(A9:B9),60)&amp;" h "&amp;TEXT(MOD(SUM(A9:B9),60),"00")&amp;" min"</f>
        <v>1 h 40 min</v>
      </c>
      <c r="G9" s="73">
        <f>SUM(A9:B9)/$C$11</f>
        <v>0.078125</v>
      </c>
      <c r="L9" s="53" t="str">
        <f>'Journal de travail'!M11</f>
        <v>Documentation</v>
      </c>
      <c r="M9" s="50" t="str">
        <f>INT($F$2*N9)&amp;" h "&amp;TEXT(ROUND(MOD($F$2*N9,1)*60,0),"00")&amp;" m"</f>
        <v>36 h 00 m</v>
      </c>
      <c r="N9" s="57">
        <v>0.4</v>
      </c>
    </row>
    <row r="10" ht="23.86" hidden="1">
      <c r="A10">
        <f>SUMIF('Journal de travail'!$E$7:$E$532,Plannification!E10,'Journal de travail'!$C$7:$C$532)*60</f>
        <v>0</v>
      </c>
      <c r="B10">
        <f>SUMIF('Journal de travail'!$E$7:$E$532,Plannification!E10,'Journal de travail'!$D$7:$D$532)</f>
        <v>0</v>
      </c>
      <c r="C10">
        <f>SUM(A10:B10)</f>
        <v>0</v>
      </c>
      <c r="E10" s="76" t="s">
        <v>31</v>
      </c>
      <c r="F10" s="77" t="str">
        <f>QUOTIENT(SUM(A10:B10),60)&amp;" h "&amp;TEXT(MOD(SUM(A10:B10),60),"00")&amp;" min"</f>
        <v>0 h 00 min</v>
      </c>
      <c r="G10" s="78">
        <f>SUM(A10:B10)/$C$11</f>
        <v>0</v>
      </c>
      <c r="L10" s="67" t="s">
        <v>31</v>
      </c>
      <c r="M10" s="50" t="str">
        <f>INT($F$2*N10)&amp;" h "&amp;TEXT(ROUND(MOD($F$2*N10,1)*60,0),"00")&amp;" m"</f>
        <v>0 h 00 m</v>
      </c>
      <c r="N10" s="81">
        <v>0</v>
      </c>
    </row>
    <row r="11" ht="23.86">
      <c r="A11">
        <f>SUM(A6:A10)</f>
        <v>360</v>
      </c>
      <c r="B11">
        <f>SUM(B6:B10)</f>
        <v>920</v>
      </c>
      <c r="C11">
        <f>SUM(A11:B11)</f>
        <v>1280</v>
      </c>
      <c r="E11" s="79" t="s">
        <v>102</v>
      </c>
      <c r="F11" s="69" t="str">
        <f>QUOTIENT(SUM(A11:B11),60)&amp;" h "&amp;TEXT(MOD(SUM(A11:B11),60),"00")&amp;" min"</f>
        <v>21 h 20 min</v>
      </c>
      <c r="G11" s="80">
        <f>C11/C12</f>
        <v>0.23703703703703705</v>
      </c>
      <c r="L11" s="54" t="s">
        <v>102</v>
      </c>
      <c r="M11" s="55"/>
      <c r="N11" s="58">
        <f>SUM(N6:N10)</f>
        <v>1</v>
      </c>
    </row>
    <row r="12" ht="20.45">
      <c r="C12">
        <f>F2*60</f>
        <v>5400</v>
      </c>
    </row>
    <row r="13" ht="23.86">
      <c r="F13" s="41"/>
    </row>
  </sheetData>
  <sheetProtection sheet="1" objects="1" scenarios="1" algorithmName="SHA-512" hashValue="u6Q3+o7a9rb9ajPGMQFXFJBxNR95C93y6qzzKCld0gZtCTYGL+7OMe+WbK2ki7xwzk+WSRqA9/xPSrIc7CBoPg==" saltValue="e1RdssACZUGVypOFgaRLDA==" spinCount="100000"/>
  <pageMargins left="0.699999988079071" right="0.699999988079071"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dimension ref="A1"/>
  <sheetViews>
    <sheetView topLeftCell="A10" workbookViewId="0">
      <selection activeCell="R14" sqref="R14"/>
    </sheetView>
  </sheetViews>
  <sheetFormatPr defaultColWidth="11.00390625" defaultRowHeight="15.75" customHeight="1"/>
  <sheetData/>
  <sheetProtection sheet="1" objects="1" scenarios="1" selectLockedCells="1" algorithmName="SHA-512" hashValue="hkKOZ8xr/Okjo/AJlNTtoGYYhES8sIn2fOpGKGGyPJqhNRzaMuj9V6Pke+VqLSypQTwaNPCt0dhRPEVp9CfBFA==" saltValue="lF/ApQWS3LBdJp0wgcNUcQ==" spinCount="100000"/>
  <pageMargins left="0.699999988079071" right="0.699999988079071"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customXml/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customXml/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customXml/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GridCraft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