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PlotThoseLines\docs\jdt\"/>
    </mc:Choice>
  </mc:AlternateContent>
  <xr:revisionPtr revIDLastSave="0" documentId="13_ncr:1_{B4D36C95-73D0-420F-9DA6-4E35C05B2945}" xr6:coauthVersionLast="47" xr6:coauthVersionMax="47" xr10:uidLastSave="{00000000-0000-0000-0000-000000000000}"/>
  <bookViews>
    <workbookView xWindow="2790" yWindow="4095" windowWidth="21600" windowHeight="1129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<sst xmlns="http://schemas.openxmlformats.org/spreadsheetml/2006/main" count="50" uniqueCount="37">
  <si>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</si>
  <si>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</si>
  <si>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</si>
  <si>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</si>
  <si>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</si>
  <si>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</si>
  <si>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</si>
  <si>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</si>
  <si>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</si>
  <si>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</si>
  <si>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</si>
  <si>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</si>
  <si>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</si>
  <si>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</si>
  <si>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</si>
  <si>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</si>
  <si>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</si>
  <si>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</si>
  <si>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</si>
  <si>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</si>
  <si>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</si>
  <si>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</si>
  <si>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</si>
  <si>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</si>
  <si>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</si>
  <si>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</si>
  <si>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</si>
  <si>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</si>
  <si>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</si>
  <si>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</si>
  <si>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P_FUN - PlotThoseLines</t>
  </si>
  <si>
    <t>24.08.2026 - 30.10.2026</t>
  </si>
  <si>
    <t>Mise en place des outils de versionning et suivi de travail</t>
  </si>
  <si>
    <t xml:space="preserve">Création des user stories </t>
  </si>
  <si>
    <t>Amélioration des US</t>
  </si>
  <si>
    <t>Création de la planificaiton simple</t>
  </si>
  <si>
    <t>Utiliser un modèle de rapport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</si>
</sst>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115</c:v>
                </c:pt>
                <c:pt idx="1">
                  <c:v>20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0.7931034482758621</c:v>
                </c:pt>
                <c:pt idx="1">
                  <c:v>0.13793103448275862</c:v>
                </c:pt>
                <c:pt idx="2">
                  <c:v>0</c:v>
                </c:pt>
                <c:pt idx="3">
                  <c:v>6.8965517241379309E-2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C1" zoomScale="85" zoomScaleNormal="85" workbookViewId="0">
      <pane ySplit="6" topLeftCell="A7" activePane="bottomLeft" state="frozen"/>
      <selection pane="bottomLeft" activeCell="G12" sqref="G12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2 heures 25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145</v>
      </c>
      <c r="E4" s="24">
        <f>SUM(C4:D4)</f>
        <v>145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46258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46258</v>
      </c>
      <c r="C8" s="31"/>
      <c r="D8" s="32">
        <v>40</v>
      </c>
      <c r="E8" s="33" t="s">
        <v>14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46258</v>
      </c>
      <c r="C9" s="35"/>
      <c r="D9" s="36">
        <v>10</v>
      </c>
      <c r="E9" s="37" t="s">
        <v>17</v>
      </c>
      <c r="F9" s="23" t="s">
        <v>36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46258</v>
      </c>
      <c r="C10" s="31"/>
      <c r="D10" s="32">
        <v>15</v>
      </c>
      <c r="E10" s="33" t="s">
        <v>14</v>
      </c>
      <c r="F10" s="23" t="s">
        <v>34</v>
      </c>
      <c r="G10" s="39"/>
      <c r="M10" t="s">
        <v>16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36</v>
      </c>
      <c r="B11" s="34">
        <v>46265</v>
      </c>
      <c r="C11" s="35"/>
      <c r="D11" s="36">
        <v>20</v>
      </c>
      <c r="E11" s="37" t="s">
        <v>14</v>
      </c>
      <c r="F11" s="23" t="s">
        <v>35</v>
      </c>
      <c r="G11" s="40"/>
      <c r="M11" t="s">
        <v>17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36</v>
      </c>
      <c r="B12" s="30">
        <v>46265</v>
      </c>
      <c r="C12" s="31"/>
      <c r="D12" s="32">
        <v>40</v>
      </c>
      <c r="E12" s="33" t="s">
        <v>14</v>
      </c>
      <c r="F12" s="23" t="s">
        <v>34</v>
      </c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115</v>
      </c>
      <c r="C6">
        <f t="shared" ref="C6:C10" si="0">SUM(A6:B6)</f>
        <v>115</v>
      </c>
      <c r="E6" s="70" t="str">
        <f>'Journal de travail'!M8</f>
        <v>Analyse</v>
      </c>
      <c r="F6" s="71" t="str">
        <f>QUOTIENT(SUM(A6:B6),60)&amp;" h "&amp;TEXT(MOD(SUM(A6:B6),60), "00")&amp;" min"</f>
        <v>1 h 55 min</v>
      </c>
      <c r="G6" s="72">
        <f>SUM(A6:B6)/$C$11</f>
        <v>0.7931034482758621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20</v>
      </c>
      <c r="C7">
        <f t="shared" si="0"/>
        <v>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20 min</v>
      </c>
      <c r="G7" s="75">
        <f t="shared" ref="G7:G9" si="2">SUM(A7:B7)/$C$11</f>
        <v>0.13793103448275862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10</v>
      </c>
      <c r="C9">
        <f t="shared" si="0"/>
        <v>10</v>
      </c>
      <c r="E9" s="77" t="str">
        <f>'Journal de travail'!M11</f>
        <v>Documentation</v>
      </c>
      <c r="F9" s="74" t="str">
        <f t="shared" si="1"/>
        <v>0 h 10 min</v>
      </c>
      <c r="G9" s="75">
        <f t="shared" si="2"/>
        <v>6.8965517241379309E-2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145</v>
      </c>
      <c r="C11">
        <f>SUM(A11:B11)</f>
        <v>145</v>
      </c>
      <c r="E11" s="81" t="s">
        <v>29</v>
      </c>
      <c r="F11" s="71" t="str">
        <f t="shared" si="1"/>
        <v>2 h 25 min</v>
      </c>
      <c r="G11" s="82">
        <f>C11/C12</f>
        <v>2.6851851851851852E-2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2026-08-31T08:07:49Z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